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680" windowHeight="10425"/>
  </bookViews>
  <sheets>
    <sheet name="Sheet1" sheetId="1" r:id="rId1"/>
  </sheets>
  <externalReferences>
    <externalReference r:id="rId2"/>
  </externalReferences>
  <calcPr calcId="144525"/>
</workbook>
</file>

<file path=xl/sharedStrings.xml><?xml version="1.0" encoding="utf-8"?>
<sst xmlns="http://schemas.openxmlformats.org/spreadsheetml/2006/main" count="1763" uniqueCount="664">
  <si>
    <t>guid</t>
  </si>
  <si>
    <t>alterid</t>
  </si>
  <si>
    <t>name</t>
  </si>
  <si>
    <t>parent</t>
  </si>
  <si>
    <t>_parent</t>
  </si>
  <si>
    <t>alias</t>
  </si>
  <si>
    <t>uom</t>
  </si>
  <si>
    <t>_uom</t>
  </si>
  <si>
    <t>parent_stock_group</t>
  </si>
  <si>
    <t>41b4f572-f97f-4c67-9dc8-7fea21148321-00001ebc</t>
  </si>
  <si>
    <t>041111 SHS-M.S.Drum 100 Kg</t>
  </si>
  <si>
    <t>Drum and Carbouys</t>
  </si>
  <si>
    <t>41b4f572-f97f-4c67-9dc8-7fea21148321-00001eef</t>
  </si>
  <si>
    <t>Nos</t>
  </si>
  <si>
    <t>41b4f572-f97f-4c67-9dc8-7fea21148321-000001c4</t>
  </si>
  <si>
    <t>41b4f572-f97f-4c67-9dc8-7fea21148321-00001ebd</t>
  </si>
  <si>
    <t>041112 SHS-M.S.Drum 50 Kg</t>
  </si>
  <si>
    <t>41b4f572-f97f-4c67-9dc8-7fea21148321-00001ebe</t>
  </si>
  <si>
    <t>041113 SHS-M.S.Drum 50 Kg -Export</t>
  </si>
  <si>
    <t>41b4f572-f97f-4c67-9dc8-7fea21148321-00001ec2</t>
  </si>
  <si>
    <t>041114 SHS Pl Drum 50 Kg-Export-Hot50 Green</t>
  </si>
  <si>
    <t>41b4f572-f97f-4c67-9dc8-7fea21148321-00001ebf</t>
  </si>
  <si>
    <t>041115 SHS -Plastic Drum 100 Kg-HOT80</t>
  </si>
  <si>
    <t>41b4f572-f97f-4c67-9dc8-7fea21148321-00001ec1</t>
  </si>
  <si>
    <t>041116 SHS Pl. Drum -50 Kg-Hwm40-A1/S1/BS</t>
  </si>
  <si>
    <t>41b4f572-f97f-4c67-9dc8-7fea21148321-00001ec3</t>
  </si>
  <si>
    <t>041121 SHS Pl Drum 25 Kg-A1 Pch Hot30 Blue</t>
  </si>
  <si>
    <t>41b4f572-f97f-4c67-9dc8-7fea21148321-00001ec4</t>
  </si>
  <si>
    <t>041122 SHS-Bucket 25 Kg -A1</t>
  </si>
  <si>
    <t>41b4f572-f97f-4c67-9dc8-7fea21148321-00001ec5</t>
  </si>
  <si>
    <t>041123 SHS Bucket 6 Kg   A1</t>
  </si>
  <si>
    <t>41b4f572-f97f-4c67-9dc8-7fea21148321-00001ec6</t>
  </si>
  <si>
    <t>041124 SHS Jar 1 Kg  A1</t>
  </si>
  <si>
    <t>41b4f572-f97f-4c67-9dc8-7fea21148321-00001ec9</t>
  </si>
  <si>
    <t>041127 SFS Pl Drm 50 Kg Loose-Hot60 Blue</t>
  </si>
  <si>
    <t>41b4f572-f97f-4c67-9dc8-7fea21148321-00001ec7</t>
  </si>
  <si>
    <t>041128 SFS  Pl Dr 50 Kg Loose -Hot60 Grn</t>
  </si>
  <si>
    <t>41b4f572-f97f-4c67-9dc8-7fea21148321-00001f18</t>
  </si>
  <si>
    <t>041129 SFS Plastic Drum 60 Kg-Hot Green</t>
  </si>
  <si>
    <t>41b4f572-f97f-4c67-9dc8-7fea21148321-00001ec8</t>
  </si>
  <si>
    <t>041130 SFS Pl Drm 40 Kg Pch HOT60 Grn</t>
  </si>
  <si>
    <t>41b4f572-f97f-4c67-9dc8-7fea21148321-00001ecb</t>
  </si>
  <si>
    <t>041134 ZFS/SFS Pl Drm 50 Kg Exp.Hot-50</t>
  </si>
  <si>
    <t>41b4f572-f97f-4c67-9dc8-7fea21148321-00002197</t>
  </si>
  <si>
    <t>041135-80 Ltr  Drum ( Red Colour  Plant Use)</t>
  </si>
  <si>
    <t>41b4f572-f97f-4c67-9dc8-7fea21148321-00001ecc</t>
  </si>
  <si>
    <t>041142 ZFS/SFS Pl Drm 25 Kg Export HOT25</t>
  </si>
  <si>
    <t>41b4f572-f97f-4c67-9dc8-7fea21148321-00001ecd</t>
  </si>
  <si>
    <t>041148 SFS MS Drum -50 Kg Export</t>
  </si>
  <si>
    <t>41b4f572-f97f-4c67-9dc8-7fea21148321-00001ec0</t>
  </si>
  <si>
    <t>041149 SHS/SFS Plastic Drum 50 Kg.-Hot40</t>
  </si>
  <si>
    <t>41b4f572-f97f-4c67-9dc8-7fea21148321-00001eca</t>
  </si>
  <si>
    <t>041150 SFS Pl Drm 25 Kg.Loose-Hot30 Grn</t>
  </si>
  <si>
    <t>41b4f572-f97f-4c67-9dc8-7fea21148321-000030d7</t>
  </si>
  <si>
    <t>04x05 " Ld  Inner Bag</t>
  </si>
  <si>
    <t>Ld Inner Bags</t>
  </si>
  <si>
    <t>41b4f572-f97f-4c67-9dc8-7fea21148321-00001ed5</t>
  </si>
  <si>
    <t>kg</t>
  </si>
  <si>
    <t>41b4f572-f97f-4c67-9dc8-7fea21148321-000001c2</t>
  </si>
  <si>
    <t>41b4f572-f97f-4c67-9dc8-7fea21148321-000014b0</t>
  </si>
  <si>
    <t>100 Kg Carbouys Hydro</t>
  </si>
  <si>
    <t>Packing Material Stock</t>
  </si>
  <si>
    <t>41b4f572-f97f-4c67-9dc8-7fea21148321-000000a6</t>
  </si>
  <si>
    <t>41b4f572-f97f-4c67-9dc8-7fea21148321-0000054a</t>
  </si>
  <si>
    <t>100 Kgs Drum-Hydro</t>
  </si>
  <si>
    <t>41b4f572-f97f-4c67-9dc8-7fea21148321-0000204b</t>
  </si>
  <si>
    <t>12 INCH  CAP</t>
  </si>
  <si>
    <t>Other Misc Purchase</t>
  </si>
  <si>
    <t>41b4f572-f97f-4c67-9dc8-7fea21148321-000004a9</t>
  </si>
  <si>
    <t>41b4f572-f97f-4c67-9dc8-7fea21148321-00001eeb</t>
  </si>
  <si>
    <t>12x15x150 Guage(6 Kg Bucket)125/kg</t>
  </si>
  <si>
    <t>41b4f572-f97f-4c67-9dc8-7fea21148321-00001ee1</t>
  </si>
  <si>
    <t>17.25"x17.25"X8.25"(6kgX4 SHS Bucket)New</t>
  </si>
  <si>
    <t>Corrugated Boxes</t>
  </si>
  <si>
    <t>41b4f572-f97f-4c67-9dc8-7fea21148321-00001ed9</t>
  </si>
  <si>
    <t>41b4f572-f97f-4c67-9dc8-7fea21148321-00003181</t>
  </si>
  <si>
    <t>18"X36" LDPE BAGS</t>
  </si>
  <si>
    <t>41b4f572-f97f-4c67-9dc8-7fea21148321-00001eee</t>
  </si>
  <si>
    <t>18x18x200 Guage (Zinc Dust)</t>
  </si>
  <si>
    <t>41b4f572-f97f-4c67-9dc8-7fea21148321-00003108</t>
  </si>
  <si>
    <t>19X26"plain Bag</t>
  </si>
  <si>
    <t>HDPE Bags</t>
  </si>
  <si>
    <t>41b4f572-f97f-4c67-9dc8-7fea21148321-00001ed7</t>
  </si>
  <si>
    <t>41b4f572-f97f-4c67-9dc8-7fea21148321-0000314e</t>
  </si>
  <si>
    <t>19x26"sodium Sulphite with Add</t>
  </si>
  <si>
    <t>41b4f572-f97f-4c67-9dc8-7fea21148321-0000314d</t>
  </si>
  <si>
    <t>19X26soadium Suplphite Without Add</t>
  </si>
  <si>
    <t>41b4f572-f97f-4c67-9dc8-7fea21148321-00001f42</t>
  </si>
  <si>
    <t>19 x 30  Ld Inner Bag</t>
  </si>
  <si>
    <t>41b4f572-f97f-4c67-9dc8-7fea21148321-000008a2</t>
  </si>
  <si>
    <t>1 Kg Jar Hydro</t>
  </si>
  <si>
    <t>41b4f572-f97f-4c67-9dc8-7fea21148321-00001ee9</t>
  </si>
  <si>
    <t>21x31x200guage(25 Kg Pkg) (25/kg)</t>
  </si>
  <si>
    <t>41b4f572-f97f-4c67-9dc8-7fea21148321-00001ee8</t>
  </si>
  <si>
    <t>24x34x250 Guage(50 Kg Pkg) (16/kg)</t>
  </si>
  <si>
    <t>41b4f572-f97f-4c67-9dc8-7fea21148321-00000916</t>
  </si>
  <si>
    <t>25 Kg Carb Hydro</t>
  </si>
  <si>
    <t>41b4f572-f97f-4c67-9dc8-7fea21148321-00000669</t>
  </si>
  <si>
    <t>25 Kg Carbo Decolite</t>
  </si>
  <si>
    <t>41b4f572-f97f-4c67-9dc8-7fea21148321-000000b5</t>
  </si>
  <si>
    <t>25 Kg Carbouys Decoline -Exp</t>
  </si>
  <si>
    <t>41b4f572-f97f-4c67-9dc8-7fea21148321-00000482</t>
  </si>
  <si>
    <t>25 Kg Decolite Paper Bag</t>
  </si>
  <si>
    <t>41b4f572-f97f-4c67-9dc8-7fea21148321-0000058e</t>
  </si>
  <si>
    <t>25 Kg Plastic Bucket Hydro</t>
  </si>
  <si>
    <t>41b4f572-f97f-4c67-9dc8-7fea21148321-00001ee7</t>
  </si>
  <si>
    <t>28"x40"x250 Guage(100 Kg Pkg)(12/kg)</t>
  </si>
  <si>
    <t>41b4f572-f97f-4c67-9dc8-7fea21148321-00001eea</t>
  </si>
  <si>
    <t>28x44x250 Guage(Export Pkg)(9/kg)</t>
  </si>
  <si>
    <t>41b4f572-f97f-4c67-9dc8-7fea21148321-00001ee2</t>
  </si>
  <si>
    <t>360x285x230mm(1kgx24 Bs Pouch)</t>
  </si>
  <si>
    <t>41b4f572-f97f-4c67-9dc8-7fea21148321-00001ee3</t>
  </si>
  <si>
    <t>456x230x260mm(1kg.SHSJar)</t>
  </si>
  <si>
    <t>41b4f572-f97f-4c67-9dc8-7fea21148321-00001eed</t>
  </si>
  <si>
    <t>4x5x100 Guage (Sample Bag)</t>
  </si>
  <si>
    <t>41b4f572-f97f-4c67-9dc8-7fea21148321-000000b8</t>
  </si>
  <si>
    <t>50 Kg Carbo Hydro</t>
  </si>
  <si>
    <t>41b4f572-f97f-4c67-9dc8-7fea21148321-000000bd</t>
  </si>
  <si>
    <t>50 Kg Carbouys Decoline</t>
  </si>
  <si>
    <t>41b4f572-f97f-4c67-9dc8-7fea21148321-00000594</t>
  </si>
  <si>
    <t>50 Kg Carbouys Decoline-Export</t>
  </si>
  <si>
    <t>41b4f572-f97f-4c67-9dc8-7fea21148321-000000b6</t>
  </si>
  <si>
    <t>50 Kg Carbouys Decolite</t>
  </si>
  <si>
    <t>41b4f572-f97f-4c67-9dc8-7fea21148321-00000553</t>
  </si>
  <si>
    <t>50 Kg Carbouys Decolite-Export</t>
  </si>
  <si>
    <t>41b4f572-f97f-4c67-9dc8-7fea21148321-00000576</t>
  </si>
  <si>
    <t>50 Kg Carboys Hydro-Exp</t>
  </si>
  <si>
    <t>41b4f572-f97f-4c67-9dc8-7fea21148321-00000513</t>
  </si>
  <si>
    <t>50 Kg Drum Decolite</t>
  </si>
  <si>
    <t>41b4f572-f97f-4c67-9dc8-7fea21148321-0000054c</t>
  </si>
  <si>
    <t>50 Kg Drum Decolite- Export</t>
  </si>
  <si>
    <t>41b4f572-f97f-4c67-9dc8-7fea21148321-00000512</t>
  </si>
  <si>
    <t>50 Kg Drum Hydro</t>
  </si>
  <si>
    <t>41b4f572-f97f-4c67-9dc8-7fea21148321-0000054b</t>
  </si>
  <si>
    <t>50 Kgs Drum Hydro-Export</t>
  </si>
  <si>
    <t>41b4f572-f97f-4c67-9dc8-7fea21148321-00000483</t>
  </si>
  <si>
    <t>6 Kg Plastic Bucket Hydro</t>
  </si>
  <si>
    <t>41b4f572-f97f-4c67-9dc8-7fea21148321-00001ee6</t>
  </si>
  <si>
    <t>7x11"x250 Guage(1kg Pouch) (170kg)</t>
  </si>
  <si>
    <t>41b4f572-f97f-4c67-9dc8-7fea21148321-00001eec</t>
  </si>
  <si>
    <t>7x9x150 Guage(1kg Jar)349/kg</t>
  </si>
  <si>
    <t>41b4f572-f97f-4c67-9dc8-7fea21148321-00001f25</t>
  </si>
  <si>
    <t>A1-01-Kg Jar-Sodium Hydrosulphit</t>
  </si>
  <si>
    <t>Hydrosulphite</t>
  </si>
  <si>
    <t>41b4f572-f97f-4c67-9dc8-7fea21148321-00000154</t>
  </si>
  <si>
    <t>41b4f572-f97f-4c67-9dc8-7fea21148321-0000015e</t>
  </si>
  <si>
    <t>A1-100 Drum(Sodium Hydrosulphite)</t>
  </si>
  <si>
    <t>41b4f572-f97f-4c67-9dc8-7fea21148321-00001e96</t>
  </si>
  <si>
    <t>A1-100 KG  Carbo(Sodium Hydrosulphite)</t>
  </si>
  <si>
    <t>41b4f572-f97f-4c67-9dc8-7fea21148321-00000918</t>
  </si>
  <si>
    <t>A1-25-Bkt-(28311010-Sodium Hydrosulphite)</t>
  </si>
  <si>
    <t>Hydrosulphite-Depo</t>
  </si>
  <si>
    <t>41b4f572-f97f-4c67-9dc8-7fea21148321-00001e97</t>
  </si>
  <si>
    <t>41b4f572-f97f-4c67-9dc8-7fea21148321-000008db</t>
  </si>
  <si>
    <t>A1-25-Bkt-Sodium Hydrosulphit</t>
  </si>
  <si>
    <t>41b4f572-f97f-4c67-9dc8-7fea21148321-0000015c</t>
  </si>
  <si>
    <t>A1-25kg-Bkt-(Sdium Hydrosulphite)-Old</t>
  </si>
  <si>
    <t>41b4f572-f97f-4c67-9dc8-7fea21148321-00001f1a</t>
  </si>
  <si>
    <t>A1-25 KG Pou Carbo(Sodium Hydrosulphite)</t>
  </si>
  <si>
    <t>41b4f572-f97f-4c67-9dc8-7fea21148321-000008d8</t>
  </si>
  <si>
    <t>A1-25 -Pch Bags-(28311010-Sodium Hydrosulphite)</t>
  </si>
  <si>
    <t>41b4f572-f97f-4c67-9dc8-7fea21148321-000001c6</t>
  </si>
  <si>
    <t>A1-25 -Pch Bags(Sodium Hydrosulphite)</t>
  </si>
  <si>
    <t>41b4f572-f97f-4c67-9dc8-7fea21148321-0000091b</t>
  </si>
  <si>
    <t>A1-25-Pch Pl Dr -(28311010-Sodium Hydrosulphite)</t>
  </si>
  <si>
    <t>41b4f572-f97f-4c67-9dc8-7fea21148321-000001c7</t>
  </si>
  <si>
    <t>A1-25-PL Drums(Sodium Hydrosulphite)</t>
  </si>
  <si>
    <t>41b4f572-f97f-4c67-9dc8-7fea21148321-000008d9</t>
  </si>
  <si>
    <t>A1-50-Carbo -Sodium Hydrosulphite</t>
  </si>
  <si>
    <t>41b4f572-f97f-4c67-9dc8-7fea21148321-000001c5</t>
  </si>
  <si>
    <t>A1-50-Drum(Sodium Hydrosulphite)</t>
  </si>
  <si>
    <t>41b4f572-f97f-4c67-9dc8-7fea21148321-00001e9d</t>
  </si>
  <si>
    <t>A1-50 Kg  Export (Sodium Hydrosulphite)</t>
  </si>
  <si>
    <t>41b4f572-f97f-4c67-9dc8-7fea21148321-0000091a</t>
  </si>
  <si>
    <t>A1-50-Pl Dr -(28311010-Sodium Hydrosulphite)</t>
  </si>
  <si>
    <t>41b4f572-f97f-4c67-9dc8-7fea21148321-0000015f</t>
  </si>
  <si>
    <t>A1-50-Pl Drum(Sodium Hydrosulphite)Old</t>
  </si>
  <si>
    <t>41b4f572-f97f-4c67-9dc8-7fea21148321-00000919</t>
  </si>
  <si>
    <t>A1-6 Bkt(28311010-Sodium Hydrosulphite)</t>
  </si>
  <si>
    <t>41b4f572-f97f-4c67-9dc8-7fea21148321-000008dd</t>
  </si>
  <si>
    <t>A1-6 Bkt-Sodium Hydrosulphite</t>
  </si>
  <si>
    <t>41b4f572-f97f-4c67-9dc8-7fea21148321-000031be</t>
  </si>
  <si>
    <t>A1 (Unpacked)</t>
  </si>
  <si>
    <t>KGS</t>
  </si>
  <si>
    <t>41b4f572-f97f-4c67-9dc8-7fea21148321-000000a2</t>
  </si>
  <si>
    <t>41b4f572-f97f-4c67-9dc8-7fea21148321-00001fb9</t>
  </si>
  <si>
    <t>ADI Artech Make Loadcell Cap</t>
  </si>
  <si>
    <t>Electric Items</t>
  </si>
  <si>
    <t>41b4f572-f97f-4c67-9dc8-7fea21148321-00001f86</t>
  </si>
  <si>
    <t>41b4f572-f97f-4c67-9dc8-7fea21148321-00002137</t>
  </si>
  <si>
    <t>Air compressor</t>
  </si>
  <si>
    <t>Stock Other Material (Sales)</t>
  </si>
  <si>
    <t>41b4f572-f97f-4c67-9dc8-7fea21148321-000000a8</t>
  </si>
  <si>
    <t>41b4f572-f97f-4c67-9dc8-7fea21148321-00001498</t>
  </si>
  <si>
    <t>Ball Bearing</t>
  </si>
  <si>
    <t>41b4f572-f97f-4c67-9dc8-7fea21148321-00001fac</t>
  </si>
  <si>
    <t>Battery Charger</t>
  </si>
  <si>
    <t>41b4f572-f97f-4c67-9dc8-7fea21148321-00001fa6</t>
  </si>
  <si>
    <t>Beam</t>
  </si>
  <si>
    <t>Other Store Items</t>
  </si>
  <si>
    <t>41b4f572-f97f-4c67-9dc8-7fea21148321-00001fa7</t>
  </si>
  <si>
    <t>41b4f572-f97f-4c67-9dc8-7fea21148321-0000204e</t>
  </si>
  <si>
    <t>Box Strapping Roll</t>
  </si>
  <si>
    <t>41b4f572-f97f-4c67-9dc8-7fea21148321-0000206e</t>
  </si>
  <si>
    <t>Calcium Carbonet (JMP GMRMIC1001)</t>
  </si>
  <si>
    <t>Raw Material Stock</t>
  </si>
  <si>
    <t>41b4f572-f97f-4c67-9dc8-7fea21148321-000000a7</t>
  </si>
  <si>
    <t>41b4f572-f97f-4c67-9dc8-7fea21148321-0000052c</t>
  </si>
  <si>
    <t>Canvas Bags 10 Kgs SFS</t>
  </si>
  <si>
    <t>41b4f572-f97f-4c67-9dc8-7fea21148321-000005cc</t>
  </si>
  <si>
    <t>Canvas Bags 20 Kgs SFS</t>
  </si>
  <si>
    <t>41b4f572-f97f-4c67-9dc8-7fea21148321-000005cb</t>
  </si>
  <si>
    <t>Canvas Bags 25 Kg SHS</t>
  </si>
  <si>
    <t>41b4f572-f97f-4c67-9dc8-7fea21148321-000000ab</t>
  </si>
  <si>
    <t>Caustic Soda Lye</t>
  </si>
  <si>
    <t>41b4f572-f97f-4c67-9dc8-7fea21148321-00001fa4</t>
  </si>
  <si>
    <t>Channel</t>
  </si>
  <si>
    <t>41b4f572-f97f-4c67-9dc8-7fea21148321-000030df</t>
  </si>
  <si>
    <t>CHIMENY</t>
  </si>
  <si>
    <t>41b4f572-f97f-4c67-9dc8-7fea21148321-0000086b</t>
  </si>
  <si>
    <t>Coal</t>
  </si>
  <si>
    <t>Fuel  &amp; Gas</t>
  </si>
  <si>
    <t>41b4f572-f97f-4c67-9dc8-7fea21148321-0000084e</t>
  </si>
  <si>
    <t>41b4f572-f97f-4c67-9dc8-7fea21148321-0000318e</t>
  </si>
  <si>
    <t>compressor</t>
  </si>
  <si>
    <t>41b4f572-f97f-4c67-9dc8-7fea21148321-00003190</t>
  </si>
  <si>
    <t>compressor accessories set</t>
  </si>
  <si>
    <t>SET</t>
  </si>
  <si>
    <t>41b4f572-f97f-4c67-9dc8-7fea21148321-00001eab</t>
  </si>
  <si>
    <t>41b4f572-f97f-4c67-9dc8-7fea21148321-00002139</t>
  </si>
  <si>
    <t>computer scrap</t>
  </si>
  <si>
    <t>41b4f572-f97f-4c67-9dc8-7fea21148321-00001fdd</t>
  </si>
  <si>
    <t>Copper Scrap</t>
  </si>
  <si>
    <t>41b4f572-f97f-4c67-9dc8-7fea21148321-000000ac</t>
  </si>
  <si>
    <t>41b4f572-f97f-4c67-9dc8-7fea21148321-00001fa9</t>
  </si>
  <si>
    <t>Cotton Thred</t>
  </si>
  <si>
    <t>41b4f572-f97f-4c67-9dc8-7fea21148321-00000552</t>
  </si>
  <si>
    <t>CRC SHEETS</t>
  </si>
  <si>
    <t>41b4f572-f97f-4c67-9dc8-7fea21148321-000020bd</t>
  </si>
  <si>
    <t>CTPT</t>
  </si>
  <si>
    <t>41b4f572-f97f-4c67-9dc8-7fea21148321-00000873</t>
  </si>
  <si>
    <t>Diesel</t>
  </si>
  <si>
    <t>Ltr</t>
  </si>
  <si>
    <t>41b4f572-f97f-4c67-9dc8-7fea21148321-000001c3</t>
  </si>
  <si>
    <t>41b4f572-f97f-4c67-9dc8-7fea21148321-00001e9a</t>
  </si>
  <si>
    <t>DL-10kg Pch Bags (Decolite Gold)</t>
  </si>
  <si>
    <t>Decolite</t>
  </si>
  <si>
    <t>41b4f572-f97f-4c67-9dc8-7fea21148321-00000153</t>
  </si>
  <si>
    <t>41b4f572-f97f-4c67-9dc8-7fea21148321-00001eba</t>
  </si>
  <si>
    <t>DL-10kg Pch Bags (Decolite Gold)-MD</t>
  </si>
  <si>
    <t>Decolite-Depo</t>
  </si>
  <si>
    <t>41b4f572-f97f-4c67-9dc8-7fea21148321-00001e99</t>
  </si>
  <si>
    <t>41b4f572-f97f-4c67-9dc8-7fea21148321-000008d5</t>
  </si>
  <si>
    <t>DL-10 -Pch Bag-Decolite(28311020-SFS)Old</t>
  </si>
  <si>
    <t>41b4f572-f97f-4c67-9dc8-7fea21148321-00000157</t>
  </si>
  <si>
    <t>DL-20kg Pch Bags (Decolite Gold)</t>
  </si>
  <si>
    <t>41b4f572-f97f-4c67-9dc8-7fea21148321-00001efe</t>
  </si>
  <si>
    <t>DL-25kg Carbo (Decolite DP)</t>
  </si>
  <si>
    <t>41b4f572-f97f-4c67-9dc8-7fea21148321-00001eb9</t>
  </si>
  <si>
    <t>DL-25Kg Carbo (Decolite DP)-MD</t>
  </si>
  <si>
    <t>41b4f572-f97f-4c67-9dc8-7fea21148321-00001eb0</t>
  </si>
  <si>
    <t>DL-25kg Expt Carbo SFS (Decolite)</t>
  </si>
  <si>
    <t>41b4f572-f97f-4c67-9dc8-7fea21148321-000001cf</t>
  </si>
  <si>
    <t>DL-25kg Expt Paper Bags SFS (Decolite)</t>
  </si>
  <si>
    <t>41b4f572-f97f-4c67-9dc8-7fea21148321-000013ad</t>
  </si>
  <si>
    <t>DL-25 Kg Paper Bag Decolite(28311020 )</t>
  </si>
  <si>
    <t>41b4f572-f97f-4c67-9dc8-7fea21148321-00000156</t>
  </si>
  <si>
    <t>DL-25kg Paper Bags (Decolite DP)</t>
  </si>
  <si>
    <t>41b4f572-f97f-4c67-9dc8-7fea21148321-000003c8</t>
  </si>
  <si>
    <t>DL-25kg Pch Carbo (Decolite Gold)</t>
  </si>
  <si>
    <t>41b4f572-f97f-4c67-9dc8-7fea21148321-00001345</t>
  </si>
  <si>
    <t>DL-25kg Pwdr Paper Bags (Decolite DP)</t>
  </si>
  <si>
    <t>41b4f572-f97f-4c67-9dc8-7fea21148321-000008de</t>
  </si>
  <si>
    <t>DL-25-Pl-Dr-Decolite(28311020-SFS)</t>
  </si>
  <si>
    <t>41b4f572-f97f-4c67-9dc8-7fea21148321-00000155</t>
  </si>
  <si>
    <t>DL-40kg Pch Carbo (Decolite Gold)</t>
  </si>
  <si>
    <t>41b4f572-f97f-4c67-9dc8-7fea21148321-00001eb7</t>
  </si>
  <si>
    <t>DL-40kg Pch Carbo (Decolite Gold)-MD</t>
  </si>
  <si>
    <t>41b4f572-f97f-4c67-9dc8-7fea21148321-000008d6</t>
  </si>
  <si>
    <t>DL-40 -Pch Pl Dr-Decolite(28311020-SFS)</t>
  </si>
  <si>
    <t>41b4f572-f97f-4c67-9dc8-7fea21148321-000004d1</t>
  </si>
  <si>
    <t>DL-50kg Carbo (Decolite DP)</t>
  </si>
  <si>
    <t>41b4f572-f97f-4c67-9dc8-7fea21148321-00001eb8</t>
  </si>
  <si>
    <t>DL-50kg Carbo (Decolite DP) MD</t>
  </si>
  <si>
    <t>41b4f572-f97f-4c67-9dc8-7fea21148321-00001f9a</t>
  </si>
  <si>
    <t>DL-50kg Carbo SFS (Decolite)</t>
  </si>
  <si>
    <t>41b4f572-f97f-4c67-9dc8-7fea21148321-00000159</t>
  </si>
  <si>
    <t>DL-50kg Drum (Decolite DP)</t>
  </si>
  <si>
    <t>41b4f572-f97f-4c67-9dc8-7fea21148321-00000158</t>
  </si>
  <si>
    <t>DL-50kg Expt Carbo SFS (Decolite)</t>
  </si>
  <si>
    <t>41b4f572-f97f-4c67-9dc8-7fea21148321-00001351</t>
  </si>
  <si>
    <t>DL-50kg Pwdr Carbo (Decolite DP)</t>
  </si>
  <si>
    <t>41b4f572-f97f-4c67-9dc8-7fea21148321-00001ead</t>
  </si>
  <si>
    <t>DL-50kg Pwdr Drum (Decolite DP)</t>
  </si>
  <si>
    <t>41b4f572-f97f-4c67-9dc8-7fea21148321-000008d7</t>
  </si>
  <si>
    <t>DL-50 -Pl Dr-Decolite (28311020-SFS)</t>
  </si>
  <si>
    <t>41b4f572-f97f-4c67-9dc8-7fea21148321-000031cd</t>
  </si>
  <si>
    <t>DL(Unpacked)</t>
  </si>
  <si>
    <t>WIP</t>
  </si>
  <si>
    <t>41b4f572-f97f-4c67-9dc8-7fea21148321-000031bd</t>
  </si>
  <si>
    <t>41b4f572-f97f-4c67-9dc8-7fea21148321-000001d3</t>
  </si>
  <si>
    <t>DN-25kg Carbo ZFS (Decoline)</t>
  </si>
  <si>
    <t>DECOLIN</t>
  </si>
  <si>
    <t>41b4f572-f97f-4c67-9dc8-7fea21148321-00000152</t>
  </si>
  <si>
    <t>41b4f572-f97f-4c67-9dc8-7fea21148321-00001eac</t>
  </si>
  <si>
    <t>DN-50kg Carbo ZFS (Decoline)</t>
  </si>
  <si>
    <t>41b4f572-f97f-4c67-9dc8-7fea21148321-000001d2</t>
  </si>
  <si>
    <t>DN-50kg  EXP Z.F.S.(DECOLINE)</t>
  </si>
  <si>
    <t>41b4f572-f97f-4c67-9dc8-7fea21148321-00000442</t>
  </si>
  <si>
    <t>DNDS-50kg DR-Decoline DS (ZFS-DS)</t>
  </si>
  <si>
    <t>DECOLIN-DS</t>
  </si>
  <si>
    <t>41b4f572-f97f-4c67-9dc8-7fea21148321-000004c0</t>
  </si>
  <si>
    <t>41b4f572-f97f-4c67-9dc8-7fea21148321-000031c5</t>
  </si>
  <si>
    <t>DN(Unpacked)</t>
  </si>
  <si>
    <t>41b4f572-f97f-4c67-9dc8-7fea21148321-00001fbd</t>
  </si>
  <si>
    <t>DRUM FILTER BAG 2910MM X 7875MM</t>
  </si>
  <si>
    <t>Filter Cloths-PP &amp;Nutch</t>
  </si>
  <si>
    <t>41b4f572-f97f-4c67-9dc8-7fea21148321-00001f8e</t>
  </si>
  <si>
    <t>41b4f572-f97f-4c67-9dc8-7fea21148321-00001fbe</t>
  </si>
  <si>
    <t>DRUM FILTER CLOTH 2910MM X 7975MM</t>
  </si>
  <si>
    <t>41b4f572-f97f-4c67-9dc8-7fea21148321-00002012</t>
  </si>
  <si>
    <t>Drum Filter Cloth 2921mmx8585mm</t>
  </si>
  <si>
    <t>41b4f572-f97f-4c67-9dc8-7fea21148321-00000161</t>
  </si>
  <si>
    <t>DT-100  Drm(Sodium  Hydrosulphite)</t>
  </si>
  <si>
    <t>41b4f572-f97f-4c67-9dc8-7fea21148321-00000160</t>
  </si>
  <si>
    <t>DT-50kg Drm(Sodium Hydrosulphite)</t>
  </si>
  <si>
    <t>41b4f572-f97f-4c67-9dc8-7fea21148321-000001cd</t>
  </si>
  <si>
    <t>DTBS-20 Pch Bx (Sodium Hydrosulhite)</t>
  </si>
  <si>
    <t>41b4f572-f97f-4c67-9dc8-7fea21148321-000001cc</t>
  </si>
  <si>
    <t>DTBS-50 Kg Dr (Sodium Hydrosulphite)</t>
  </si>
  <si>
    <t>41b4f572-f97f-4c67-9dc8-7fea21148321-000008e2</t>
  </si>
  <si>
    <t>DTBS-50kg Pl.Drm (Sodium Hydrosulphite)</t>
  </si>
  <si>
    <t>41b4f572-f97f-4c67-9dc8-7fea21148321-0000085d</t>
  </si>
  <si>
    <t>Electricity</t>
  </si>
  <si>
    <t>Khw</t>
  </si>
  <si>
    <t>41b4f572-f97f-4c67-9dc8-7fea21148321-00000860</t>
  </si>
  <si>
    <t>41b4f572-f97f-4c67-9dc8-7fea21148321-00001499</t>
  </si>
  <si>
    <t>Electric  Motor</t>
  </si>
  <si>
    <t>41b4f572-f97f-4c67-9dc8-7fea21148321-0000085e</t>
  </si>
  <si>
    <t>Electricty Unit-II</t>
  </si>
  <si>
    <t>41b4f572-f97f-4c67-9dc8-7fea21148321-00001f60</t>
  </si>
  <si>
    <t>Engineering Goods</t>
  </si>
  <si>
    <t>Store &amp; Spares</t>
  </si>
  <si>
    <t>41b4f572-f97f-4c67-9dc8-7fea21148321-00001f5d</t>
  </si>
  <si>
    <t>41b4f572-f97f-4c67-9dc8-7fea21148321-0000205b</t>
  </si>
  <si>
    <t>ERW TUBES</t>
  </si>
  <si>
    <t>Pipes-Fitting,Flanges Bend Elbow</t>
  </si>
  <si>
    <t>41b4f572-f97f-4c67-9dc8-7fea21148321-00001f88</t>
  </si>
  <si>
    <t>41b4f572-f97f-4c67-9dc8-7fea21148321-00001fb1</t>
  </si>
  <si>
    <t>Exide Battery</t>
  </si>
  <si>
    <t>41b4f572-f97f-4c67-9dc8-7fea21148321-00001faf</t>
  </si>
  <si>
    <t>Fevicol SR 998</t>
  </si>
  <si>
    <t>41b4f572-f97f-4c67-9dc8-7fea21148321-00000560</t>
  </si>
  <si>
    <t>Filter Cloth</t>
  </si>
  <si>
    <t>41b4f572-f97f-4c67-9dc8-7fea21148321-000014ab</t>
  </si>
  <si>
    <t>Filter Cloth (New)</t>
  </si>
  <si>
    <t>41b4f572-f97f-4c67-9dc8-7fea21148321-00001485</t>
  </si>
  <si>
    <t>Fly Ash</t>
  </si>
  <si>
    <t>41b4f572-f97f-4c67-9dc8-7fea21148321-000000b0</t>
  </si>
  <si>
    <t>Formaldehyde -37%</t>
  </si>
  <si>
    <t>41b4f572-f97f-4c67-9dc8-7fea21148321-00002192</t>
  </si>
  <si>
    <t>Formaldehyde Sludge (Non Usuable)</t>
  </si>
  <si>
    <t>41b4f572-f97f-4c67-9dc8-7fea21148321-000000b1</t>
  </si>
  <si>
    <t>Furnace Oil</t>
  </si>
  <si>
    <t>41b4f572-f97f-4c67-9dc8-7fea21148321-0000084f</t>
  </si>
  <si>
    <t>Furnace Oil New</t>
  </si>
  <si>
    <t>41b4f572-f97f-4c67-9dc8-7fea21148321-00000532</t>
  </si>
  <si>
    <t>Gas Fuel</t>
  </si>
  <si>
    <t>scm</t>
  </si>
  <si>
    <t>41b4f572-f97f-4c67-9dc8-7fea21148321-00000851</t>
  </si>
  <si>
    <t>41b4f572-f97f-4c67-9dc8-7fea21148321-00000533</t>
  </si>
  <si>
    <t>Gas Fuel Zinc Unit II</t>
  </si>
  <si>
    <t>41b4f572-f97f-4c67-9dc8-7fea21148321-00001fb7</t>
  </si>
  <si>
    <t>Glass SODA 300 ML</t>
  </si>
  <si>
    <t>41b4f572-f97f-4c67-9dc8-7fea21148321-000020ac</t>
  </si>
  <si>
    <t>Hdpe Green plastic Bag 25 Kg 19x 26</t>
  </si>
  <si>
    <t>41b4f572-f97f-4c67-9dc8-7fea21148321-000004c8</t>
  </si>
  <si>
    <t>H.D.P.E NEW BAGS</t>
  </si>
  <si>
    <t>41b4f572-f97f-4c67-9dc8-7fea21148321-0000052b</t>
  </si>
  <si>
    <t>H.D.P.E Old Bags</t>
  </si>
  <si>
    <t>41b4f572-f97f-4c67-9dc8-7fea21148321-00002010</t>
  </si>
  <si>
    <t>HDPE-Pain Blue 20x32</t>
  </si>
  <si>
    <t>41b4f572-f97f-4c67-9dc8-7fea21148321-00001ef7</t>
  </si>
  <si>
    <t>HDPE-Plain(White)20"x32"</t>
  </si>
  <si>
    <t>41b4f572-f97f-4c67-9dc8-7fea21148321-000031a3</t>
  </si>
  <si>
    <t>Hdpe Plastic Bags 22*30"  Plain Bags</t>
  </si>
  <si>
    <t>41b4f572-f97f-4c67-9dc8-7fea21148321-00002099</t>
  </si>
  <si>
    <t>HDPE Plastics Bags Plain 19"X23"(Unit-II)</t>
  </si>
  <si>
    <t>41b4f572-f97f-4c67-9dc8-7fea21148321-00001ece</t>
  </si>
  <si>
    <t>Hexamine</t>
  </si>
  <si>
    <t>41b4f572-f97f-4c67-9dc8-7fea21148321-00001f3e</t>
  </si>
  <si>
    <t>INDUCTION COIL</t>
  </si>
  <si>
    <t>41b4f572-f97f-4c67-9dc8-7fea21148321-00001fb2</t>
  </si>
  <si>
    <t>Labour Job</t>
  </si>
  <si>
    <t>41b4f572-f97f-4c67-9dc8-7fea21148321-00001fb3</t>
  </si>
  <si>
    <t>Labour Job Only</t>
  </si>
  <si>
    <t>41b4f572-f97f-4c67-9dc8-7fea21148321-000031f8</t>
  </si>
  <si>
    <t>LDO(LIGHT DIESEL OIL)</t>
  </si>
  <si>
    <t>41b4f572-f97f-4c67-9dc8-7fea21148321-000031f3</t>
  </si>
  <si>
    <t>LDPE Scrape Plastic Bags</t>
  </si>
  <si>
    <t>41b4f572-f97f-4c67-9dc8-7fea21148321-000001ce</t>
  </si>
  <si>
    <t>LP-100 Drum (Sodium Hydrosulphite)</t>
  </si>
  <si>
    <t>41b4f572-f97f-4c67-9dc8-7fea21148321-000031c3</t>
  </si>
  <si>
    <t>LP(Unpacked)</t>
  </si>
  <si>
    <t>41b4f572-f97f-4c67-9dc8-7fea21148321-000000ba</t>
  </si>
  <si>
    <t>Methanol</t>
  </si>
  <si>
    <t>41b4f572-f97f-4c67-9dc8-7fea21148321-000020bc</t>
  </si>
  <si>
    <t>MOTOR</t>
  </si>
  <si>
    <t>41b4f572-f97f-4c67-9dc8-7fea21148321-00001fae</t>
  </si>
  <si>
    <t>M Seal  Phataphat</t>
  </si>
  <si>
    <t>41b4f572-f97f-4c67-9dc8-7fea21148321-000031a1</t>
  </si>
  <si>
    <t>M.S. ELBOW 1422-1"</t>
  </si>
  <si>
    <t>41b4f572-f97f-4c67-9dc8-7fea21148321-000000bb</t>
  </si>
  <si>
    <t>M.S.Scrap</t>
  </si>
  <si>
    <t>41b4f572-f97f-4c67-9dc8-7fea21148321-0000200e</t>
  </si>
  <si>
    <t>M.S SCRAPE NOS</t>
  </si>
  <si>
    <t>41b4f572-f97f-4c67-9dc8-7fea21148321-0000313a</t>
  </si>
  <si>
    <t>Nutch Cloth 103" Dia PS-165(Jali)</t>
  </si>
  <si>
    <t>NUTCH CLOTH 103 DIA PS 165</t>
  </si>
  <si>
    <t>41b4f572-f97f-4c67-9dc8-7fea21148321-00003139</t>
  </si>
  <si>
    <t>41b4f572-f97f-4c67-9dc8-7fea21148321-000020b4</t>
  </si>
  <si>
    <t>Nutch Cloth 103" Dia PS-88</t>
  </si>
  <si>
    <t>41b4f572-f97f-4c67-9dc8-7fea21148321-00002074</t>
  </si>
  <si>
    <t>Nutch Cloth 85.5 " Dia Ps-165</t>
  </si>
  <si>
    <t>41b4f572-f97f-4c67-9dc8-7fea21148321-00002075</t>
  </si>
  <si>
    <t>Nutch Cloth 85.5 " Dia PS -88</t>
  </si>
  <si>
    <t>41b4f572-f97f-4c67-9dc8-7fea21148321-0000201b</t>
  </si>
  <si>
    <t>OLD AND USED  REFRACTORY BRICKS</t>
  </si>
  <si>
    <t>41b4f572-f97f-4c67-9dc8-7fea21148321-000000bc</t>
  </si>
  <si>
    <t>Oleum 65%</t>
  </si>
  <si>
    <t>41b4f572-f97f-4c67-9dc8-7fea21148321-000004c5</t>
  </si>
  <si>
    <t>Other Packing Materials</t>
  </si>
  <si>
    <t>41b4f572-f97f-4c67-9dc8-7fea21148321-00000531</t>
  </si>
  <si>
    <t>Other Raw Materials</t>
  </si>
  <si>
    <t>41b4f572-f97f-4c67-9dc8-7fea21148321-00000484</t>
  </si>
  <si>
    <t>Paint  -Packing Material</t>
  </si>
  <si>
    <t>41b4f572-f97f-4c67-9dc8-7fea21148321-000020be</t>
  </si>
  <si>
    <t>PANELS</t>
  </si>
  <si>
    <t>41b4f572-f97f-4c67-9dc8-7fea21148321-00001ee5</t>
  </si>
  <si>
    <t>Paper Bag15.3"X4X31"(Export)</t>
  </si>
  <si>
    <t>Paper Bags</t>
  </si>
  <si>
    <t>41b4f572-f97f-4c67-9dc8-7fea21148321-00001ed8</t>
  </si>
  <si>
    <t>41b4f572-f97f-4c67-9dc8-7fea21148321-00001ee4</t>
  </si>
  <si>
    <t>Paper Bag 19.5"x31.5"(Local)</t>
  </si>
  <si>
    <t>41b4f572-f97f-4c67-9dc8-7fea21148321-00001fab</t>
  </si>
  <si>
    <t>Parthan EP 320</t>
  </si>
  <si>
    <t>41b4f572-f97f-4c67-9dc8-7fea21148321-00001fa5</t>
  </si>
  <si>
    <t>Plate</t>
  </si>
  <si>
    <t>41b4f572-f97f-4c67-9dc8-7fea21148321-000000c0</t>
  </si>
  <si>
    <t>Polythene Bags</t>
  </si>
  <si>
    <t>41b4f572-f97f-4c67-9dc8-7fea21148321-0000059b</t>
  </si>
  <si>
    <t>Pouch 1 Kgs</t>
  </si>
  <si>
    <t>41b4f572-f97f-4c67-9dc8-7fea21148321-00001fa3</t>
  </si>
  <si>
    <t>Printing &amp; Stationery</t>
  </si>
  <si>
    <t>41b4f572-f97f-4c67-9dc8-7fea21148321-000009ce</t>
  </si>
  <si>
    <t>Processing Chg-Zinc Oxide</t>
  </si>
  <si>
    <t>41b4f572-f97f-4c67-9dc8-7fea21148321-00003160</t>
  </si>
  <si>
    <t>Profile Sys Win  Size 18.8x1.76</t>
  </si>
  <si>
    <t>41b4f572-f97f-4c67-9dc8-7fea21148321-0000314f</t>
  </si>
  <si>
    <t>Profile Sys Win  Size 50 X 54"</t>
  </si>
  <si>
    <t>41b4f572-f97f-4c67-9dc8-7fea21148321-000030e9</t>
  </si>
  <si>
    <t>Profile Sys.WN Filter 1020MMX1070MM</t>
  </si>
  <si>
    <t>41b4f572-f97f-4c67-9dc8-7fea21148321-00001fbf</t>
  </si>
  <si>
    <t>PROFILE SYS.WN FILTER 34"X36"</t>
  </si>
  <si>
    <t>41b4f572-f97f-4c67-9dc8-7fea21148321-00001fb4</t>
  </si>
  <si>
    <t>PROFILE SYS.WN FILTER 38" X 42"</t>
  </si>
  <si>
    <t>41b4f572-f97f-4c67-9dc8-7fea21148321-00003158</t>
  </si>
  <si>
    <t>Pro.Sys.Win.Filter Size 42X45</t>
  </si>
  <si>
    <t>41b4f572-f97f-4c67-9dc8-7fea21148321-0000149a</t>
  </si>
  <si>
    <t>Pump</t>
  </si>
  <si>
    <t>41b4f572-f97f-4c67-9dc8-7fea21148321-00000946</t>
  </si>
  <si>
    <t>Pur-Hydrosulphite</t>
  </si>
  <si>
    <t>41b4f572-f97f-4c67-9dc8-7fea21148321-00000a15</t>
  </si>
  <si>
    <t>Pur-Zinc Oxide Rm</t>
  </si>
  <si>
    <t>41b4f572-f97f-4c67-9dc8-7fea21148321-0000145e</t>
  </si>
  <si>
    <t>PUR-Zinc Whiteseal ( RM)</t>
  </si>
  <si>
    <t>41b4f572-f97f-4c67-9dc8-7fea21148321-00003184</t>
  </si>
  <si>
    <t>Rodtep Duty Credit Scrip</t>
  </si>
  <si>
    <t>41b4f572-f97f-4c67-9dc8-7fea21148321-00001ed2</t>
  </si>
  <si>
    <t>S1-100 Drum (Sodium Hydrosulphite)</t>
  </si>
  <si>
    <t>41b4f572-f97f-4c67-9dc8-7fea21148321-000001c8</t>
  </si>
  <si>
    <t>S1-50 Drum (Sodium Hydrosulphite)</t>
  </si>
  <si>
    <t>41b4f572-f97f-4c67-9dc8-7fea21148321-00001e9c</t>
  </si>
  <si>
    <t>S1-50 KG Export (Sodium Hydrosulphite)</t>
  </si>
  <si>
    <t>41b4f572-f97f-4c67-9dc8-7fea21148321-000008da</t>
  </si>
  <si>
    <t>S1-50 Pl Dr (28311010-Sodium Hydrosulphite)</t>
  </si>
  <si>
    <t>41b4f572-f97f-4c67-9dc8-7fea21148321-000001ca</t>
  </si>
  <si>
    <t>S1-50 Pl Dr (Sodium Hydrosulphite)</t>
  </si>
  <si>
    <t>41b4f572-f97f-4c67-9dc8-7fea21148321-000031bf</t>
  </si>
  <si>
    <t>S1 (Unpacked)</t>
  </si>
  <si>
    <t>41b4f572-f97f-4c67-9dc8-7fea21148321-000031c0</t>
  </si>
  <si>
    <t>S2 (Unpacked)</t>
  </si>
  <si>
    <t>41b4f572-f97f-4c67-9dc8-7fea21148321-00001fd3</t>
  </si>
  <si>
    <t>S3-100 Dr Export(Sodium Hydrosulphite)</t>
  </si>
  <si>
    <t>41b4f572-f97f-4c67-9dc8-7fea21148321-00000353</t>
  </si>
  <si>
    <t>S3-100 Dr(Sodium Hydrosulphite)</t>
  </si>
  <si>
    <t>41b4f572-f97f-4c67-9dc8-7fea21148321-000031c1</t>
  </si>
  <si>
    <t>S3(Unpacked)</t>
  </si>
  <si>
    <t>41b4f572-f97f-4c67-9dc8-7fea21148321-000031c2</t>
  </si>
  <si>
    <t>S4(Unpacked)</t>
  </si>
  <si>
    <t>41b4f572-f97f-4c67-9dc8-7fea21148321-0000216d</t>
  </si>
  <si>
    <t>Safolite(Decolite)</t>
  </si>
  <si>
    <t>41b4f572-f97f-4c67-9dc8-7fea21148321-000000c4</t>
  </si>
  <si>
    <t>Scrap</t>
  </si>
  <si>
    <t>41b4f572-f97f-4c67-9dc8-7fea21148321-00001fd9</t>
  </si>
  <si>
    <t>SCRAPE MATREIAL</t>
  </si>
  <si>
    <t>41b4f572-f97f-4c67-9dc8-7fea21148321-00001f85</t>
  </si>
  <si>
    <t>Scrap Item</t>
  </si>
  <si>
    <t>41b4f572-f97f-4c67-9dc8-7fea21148321-000000c5</t>
  </si>
  <si>
    <t>Secondary Zinc Ind</t>
  </si>
  <si>
    <t>41b4f572-f97f-4c67-9dc8-7fea21148321-00001ede</t>
  </si>
  <si>
    <t>SFS-1kg.Pouch (Decolite Gold)Green</t>
  </si>
  <si>
    <t>Pouch Bags</t>
  </si>
  <si>
    <t>41b4f572-f97f-4c67-9dc8-7fea21148321-00001eda</t>
  </si>
  <si>
    <t>41b4f572-f97f-4c67-9dc8-7fea21148321-00001edd</t>
  </si>
  <si>
    <t>SFS-1 Kg.Pouch (Decolite Yellow)Old</t>
  </si>
  <si>
    <t>41b4f572-f97f-4c67-9dc8-7fea21148321-00001ef0</t>
  </si>
  <si>
    <t>SFS-40kg 2x20x1kg.26"x42" Blk</t>
  </si>
  <si>
    <t>41b4f572-f97f-4c67-9dc8-7fea21148321-00001ef2</t>
  </si>
  <si>
    <t>SFS-40 Kg-4x10x1kg-26"42" Red</t>
  </si>
  <si>
    <t>41b4f572-f97f-4c67-9dc8-7fea21148321-0000317a</t>
  </si>
  <si>
    <t>Shopping Bag 10Kgs(HO)</t>
  </si>
  <si>
    <t>41b4f572-f97f-4c67-9dc8-7fea21148321-0000317b</t>
  </si>
  <si>
    <t>Shopping Bag 20Kgs(HA)</t>
  </si>
  <si>
    <t>41b4f572-f97f-4c67-9dc8-7fea21148321-00001ef1</t>
  </si>
  <si>
    <t>SHS-50 Kg2x25x1.-26"x42"blue</t>
  </si>
  <si>
    <t>41b4f572-f97f-4c67-9dc8-7fea21148321-00001edb</t>
  </si>
  <si>
    <t>SHS A1-1 Kg.Pouch</t>
  </si>
  <si>
    <t>41b4f572-f97f-4c67-9dc8-7fea21148321-00001edc</t>
  </si>
  <si>
    <t>SHS Decothionite BS 1 Kg.Pouch</t>
  </si>
  <si>
    <t>41b4f572-f97f-4c67-9dc8-7fea21148321-000000c6</t>
  </si>
  <si>
    <t>Soda Ash</t>
  </si>
  <si>
    <t>41b4f572-f97f-4c67-9dc8-7fea21148321-000020a9</t>
  </si>
  <si>
    <t>Sodium Chloride</t>
  </si>
  <si>
    <t>41b4f572-f97f-4c67-9dc8-7fea21148321-00001ecf</t>
  </si>
  <si>
    <t>Sodium Formate</t>
  </si>
  <si>
    <t>41b4f572-f97f-4c67-9dc8-7fea21148321-00001fa2</t>
  </si>
  <si>
    <t>Sodium Meta Bisulphite</t>
  </si>
  <si>
    <t>41b4f572-f97f-4c67-9dc8-7fea21148321-00001efa</t>
  </si>
  <si>
    <t>Sodium Sulphite-50kg-24"x36"</t>
  </si>
  <si>
    <t>41b4f572-f97f-4c67-9dc8-7fea21148321-000000cb</t>
  </si>
  <si>
    <t>SS-50-Bag-(Sodium Sulphite)</t>
  </si>
  <si>
    <t>Finished Goods Stock</t>
  </si>
  <si>
    <t>41b4f572-f97f-4c67-9dc8-7fea21148321-000000a5</t>
  </si>
  <si>
    <t>41b4f572-f97f-4c67-9dc8-7fea21148321-00001eaa</t>
  </si>
  <si>
    <t>STEAM TURBINE AND GEAR BOX</t>
  </si>
  <si>
    <t>41b4f572-f97f-4c67-9dc8-7fea21148321-00001f2b</t>
  </si>
  <si>
    <t>STR ML2 FASD SS</t>
  </si>
  <si>
    <t>41b4f572-f97f-4c67-9dc8-7fea21148321-00001f0c</t>
  </si>
  <si>
    <t>Strtech Film</t>
  </si>
  <si>
    <t>41b4f572-f97f-4c67-9dc8-7fea21148321-000000cd</t>
  </si>
  <si>
    <t>Sulphur</t>
  </si>
  <si>
    <t>41b4f572-f97f-4c67-9dc8-7fea21148321-0000200f</t>
  </si>
  <si>
    <t>Sulphurc Acid98%</t>
  </si>
  <si>
    <t>41b4f572-f97f-4c67-9dc8-7fea21148321-00001e8b</t>
  </si>
  <si>
    <t>Sulphur Coarse</t>
  </si>
  <si>
    <t>41b4f572-f97f-4c67-9dc8-7fea21148321-000000cf</t>
  </si>
  <si>
    <t>SULPHURIC ACID 100%</t>
  </si>
  <si>
    <t>41b4f572-f97f-4c67-9dc8-7fea21148321-000020bb</t>
  </si>
  <si>
    <t>TRANSFORMER</t>
  </si>
  <si>
    <t>41b4f572-f97f-4c67-9dc8-7fea21148321-000000d0</t>
  </si>
  <si>
    <t>Vaccum Salt</t>
  </si>
  <si>
    <t>41b4f572-f97f-4c67-9dc8-7fea21148321-000004ad</t>
  </si>
  <si>
    <t>Valve</t>
  </si>
  <si>
    <t>41b4f572-f97f-4c67-9dc8-7fea21148321-00001fb6</t>
  </si>
  <si>
    <t>Vapour Absorprint Machine</t>
  </si>
  <si>
    <t>41b4f572-f97f-4c67-9dc8-7fea21148321-00000980</t>
  </si>
  <si>
    <t>Vehicles</t>
  </si>
  <si>
    <t>41b4f572-f97f-4c67-9dc8-7fea21148321-0000205e</t>
  </si>
  <si>
    <t>WOODEN SCRAPE</t>
  </si>
  <si>
    <t>41b4f572-f97f-4c67-9dc8-7fea21148321-00001fb8</t>
  </si>
  <si>
    <t>Wood Pallet</t>
  </si>
  <si>
    <t>41b4f572-f97f-4c67-9dc8-7fea21148321-00001ed0</t>
  </si>
  <si>
    <t>Zeolite Powder</t>
  </si>
  <si>
    <t>41b4f572-f97f-4c67-9dc8-7fea21148321-000000d2</t>
  </si>
  <si>
    <t>Zinc Ash Whiteseal</t>
  </si>
  <si>
    <t>41b4f572-f97f-4c67-9dc8-7fea21148321-000000d3</t>
  </si>
  <si>
    <t>Zinc Dross</t>
  </si>
  <si>
    <t>41b4f572-f97f-4c67-9dc8-7fea21148321-0000062f</t>
  </si>
  <si>
    <t>Zinc Dross Imp</t>
  </si>
  <si>
    <t>41b4f572-f97f-4c67-9dc8-7fea21148321-00001e9b</t>
  </si>
  <si>
    <t>Zinc Dust</t>
  </si>
  <si>
    <t>41b4f572-f97f-4c67-9dc8-7fea21148321-00001f56</t>
  </si>
  <si>
    <t>Zinc Dust19x30" Black Colour Band</t>
  </si>
  <si>
    <t>41b4f572-f97f-4c67-9dc8-7fea21148321-00001f0a</t>
  </si>
  <si>
    <t>Zinc Dust 19x30"green  Colour Band</t>
  </si>
  <si>
    <t>41b4f572-f97f-4c67-9dc8-7fea21148321-00001f09</t>
  </si>
  <si>
    <t>Zinc Dust-19x30"Red Colour Band</t>
  </si>
  <si>
    <t>41b4f572-f97f-4c67-9dc8-7fea21148321-00001f17</t>
  </si>
  <si>
    <t>Zinc Dust 19x30"white Colour Band</t>
  </si>
  <si>
    <t>41b4f572-f97f-4c67-9dc8-7fea21148321-00001f0b</t>
  </si>
  <si>
    <t>Zinc Dust 19x30" Yellow Colour Band</t>
  </si>
  <si>
    <t>41b4f572-f97f-4c67-9dc8-7fea21148321-00003175</t>
  </si>
  <si>
    <t>Zinc Dust Bags  19"X23" Black</t>
  </si>
  <si>
    <t>41b4f572-f97f-4c67-9dc8-7fea21148321-00003174</t>
  </si>
  <si>
    <t>Zinc Dust Bags 19" X 30" Blue</t>
  </si>
  <si>
    <t>41b4f572-f97f-4c67-9dc8-7fea21148321-000031b9</t>
  </si>
  <si>
    <t>Zinc Dust Unit 2</t>
  </si>
  <si>
    <t>41b4f572-f97f-4c67-9dc8-7fea21148321-000000d9</t>
  </si>
  <si>
    <t>Zinc Ingots</t>
  </si>
  <si>
    <t>41b4f572-f97f-4c67-9dc8-7fea21148321-000031b8</t>
  </si>
  <si>
    <t>Zinc Ingots Unit 2</t>
  </si>
  <si>
    <t>41b4f572-f97f-4c67-9dc8-7fea21148321-00001ed1</t>
  </si>
  <si>
    <t>Zinc Metallic</t>
  </si>
  <si>
    <t>41b4f572-f97f-4c67-9dc8-7fea21148321-00001f14</t>
  </si>
  <si>
    <t>Zinc Oxide Whiteseal -LP</t>
  </si>
  <si>
    <t>41b4f572-f97f-4c67-9dc8-7fea21148321-000000d4</t>
  </si>
  <si>
    <t>Zinc Powder</t>
  </si>
  <si>
    <t>41b4f572-f97f-4c67-9dc8-7fea21148321-0000081d</t>
  </si>
  <si>
    <t>Zinc Process Loss</t>
  </si>
  <si>
    <t>41b4f572-f97f-4c67-9dc8-7fea21148321-000007a4</t>
  </si>
  <si>
    <t>Zinc Scrap</t>
  </si>
  <si>
    <t>41b4f572-f97f-4c67-9dc8-7fea21148321-000000d5</t>
  </si>
  <si>
    <t>ZN-25-Bag-(Zinc Dust)Old</t>
  </si>
  <si>
    <t>41b4f572-f97f-4c67-9dc8-7fea21148321-00002000</t>
  </si>
  <si>
    <t>Znc Dust Powder</t>
  </si>
  <si>
    <t>gr</t>
  </si>
  <si>
    <t>41b4f572-f97f-4c67-9dc8-7fea21148321-00001fff</t>
  </si>
  <si>
    <t>41b4f572-f97f-4c67-9dc8-7fea21148321-00000565</t>
  </si>
  <si>
    <t>ZNO-1000-Kg Jumbo Bag-Zinc Oxide</t>
  </si>
  <si>
    <t>41b4f572-f97f-4c67-9dc8-7fea21148321-00001f5a</t>
  </si>
  <si>
    <t>ZNO-1200-Kg Jumbo Bag-Zinc Oxide</t>
  </si>
  <si>
    <t>Zinc Oxide</t>
  </si>
  <si>
    <t>41b4f572-f97f-4c67-9dc8-7fea21148321-000005b2</t>
  </si>
  <si>
    <t>41b4f572-f97f-4c67-9dc8-7fea21148321-000031ba</t>
  </si>
  <si>
    <t>Zno-1250 Jambo Bag</t>
  </si>
  <si>
    <t>41b4f572-f97f-4c67-9dc8-7fea21148321-0000315c</t>
  </si>
  <si>
    <t>ZNO-1250-Kg Jumbo Bag-Zinc Oxide</t>
  </si>
  <si>
    <t>41b4f572-f97f-4c67-9dc8-7fea21148321-000000dc</t>
  </si>
  <si>
    <t>ZNO-25- Bag-(Zinc Oxide Whiteseal)</t>
  </si>
  <si>
    <t>41b4f572-f97f-4c67-9dc8-7fea21148321-00001ef9</t>
  </si>
  <si>
    <t>Zno-25kg.19"26"without Add &amp;Logo White</t>
  </si>
  <si>
    <t>41b4f572-f97f-4c67-9dc8-7fea21148321-00001ef6</t>
  </si>
  <si>
    <t>Zno-25kg.Blue 20"X32"</t>
  </si>
  <si>
    <t>41b4f572-f97f-4c67-9dc8-7fea21148321-00001ef8</t>
  </si>
  <si>
    <t>ZNO-25 Kg.Export Red</t>
  </si>
  <si>
    <t>41b4f572-f97f-4c67-9dc8-7fea21148321-000031ef</t>
  </si>
  <si>
    <t>Zno-25 Kg Hdpe 19x26"- Rutva Ptg</t>
  </si>
  <si>
    <t>41b4f572-f97f-4c67-9dc8-7fea21148321-00001ef5</t>
  </si>
  <si>
    <t>Zno-25 Kg.JK/VLT(White)19"x26"</t>
  </si>
  <si>
    <t>41b4f572-f97f-4c67-9dc8-7fea21148321-00001ef4</t>
  </si>
  <si>
    <t>Zno-25kg MRF (Green)19"x26"</t>
  </si>
  <si>
    <t>41b4f572-f97f-4c67-9dc8-7fea21148321-00001ef3</t>
  </si>
  <si>
    <t>Zno-25kg with Adress &amp;Liner19"x26"</t>
  </si>
  <si>
    <t>41b4f572-f97f-4c67-9dc8-7fea21148321-00001efb</t>
  </si>
  <si>
    <t>Zno-25 Kg.WS (Red)22'x32"</t>
  </si>
  <si>
    <t>41b4f572-f97f-4c67-9dc8-7fea21148321-00001efc</t>
  </si>
  <si>
    <t>Zno-25kg.WS(Yellow)22"x32"</t>
  </si>
  <si>
    <t>41b4f572-f97f-4c67-9dc8-7fea21148321-000000dd</t>
  </si>
  <si>
    <t>ZNO-25 Kg Zinc Oxide</t>
  </si>
  <si>
    <t>41b4f572-f97f-4c67-9dc8-7fea21148321-00001edf</t>
  </si>
  <si>
    <t>Zno-90x90x100xcm-2 Spout JK</t>
  </si>
  <si>
    <t>Jumbo Bags</t>
  </si>
  <si>
    <t>41b4f572-f97f-4c67-9dc8-7fea21148321-00001ed6</t>
  </si>
  <si>
    <t>41b4f572-f97f-4c67-9dc8-7fea21148321-00001ee0</t>
  </si>
  <si>
    <t>Zno-90x90x115 cm-2spout-Export</t>
  </si>
  <si>
    <t>41b4f572-f97f-4c67-9dc8-7fea21148321-000021bf</t>
  </si>
  <si>
    <t>Zno Hdpe 26 X 42"white ( Black Printing)</t>
  </si>
  <si>
    <t>41b4f572-f97f-4c67-9dc8-7fea21148321-000021bb</t>
  </si>
  <si>
    <t>Zno Hdpe 26 X 42 " White ( Blue Printing)</t>
  </si>
  <si>
    <t>41b4f572-f97f-4c67-9dc8-7fea21148321-00001f41</t>
  </si>
  <si>
    <t>Zno  Hdpe Blue Bag 25 Kg 19x 26</t>
  </si>
  <si>
    <t>41b4f572-f97f-4c67-9dc8-7fea21148321-00001f40</t>
  </si>
  <si>
    <t>Zno Hdpe Red Bag 25 Kgs 19x26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</si>
</sst>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</numFmts>
  <fonts count="22">
    <font>
      <sz val="11"/>
      <color theme="1"/>
      <name val="Calibri"/>
      <charset val="134"/>
      <scheme val="minor"/>
    </font>
    <font>
      <sz val="11"/>
      <color rgb="FF7030A0"/>
      <name val="Calibri"/>
      <charset val="134"/>
      <scheme val="minor"/>
    </font>
    <font>
      <sz val="11"/>
      <color rgb="FF00B0F0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8" fillId="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13" borderId="4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6" fillId="4" borderId="2" applyNumberFormat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5" fillId="3" borderId="2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solidated%20data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rn_inventory"/>
      <sheetName val="from mst_stock_item"/>
      <sheetName val="from mst_stock_group"/>
      <sheetName val="from trn_voucher"/>
      <sheetName val="mst_vouchertype"/>
      <sheetName val="trn_accounting"/>
      <sheetName val="from mst_ledger"/>
      <sheetName val="from mst_group"/>
    </sheetNames>
    <sheetDataSet>
      <sheetData sheetId="0"/>
      <sheetData sheetId="1"/>
      <sheetData sheetId="2">
        <row r="1">
          <cell r="A1" t="str">
            <v>name</v>
          </cell>
          <cell r="B1" t="str">
            <v>parent</v>
          </cell>
          <cell r="C1" t="str">
            <v>_parent</v>
          </cell>
        </row>
        <row r="2">
          <cell r="A2" t="str">
            <v>103 DIAPS 88</v>
          </cell>
        </row>
        <row r="3">
          <cell r="A3" t="str">
            <v>18X36 LDPE BAG</v>
          </cell>
        </row>
        <row r="4">
          <cell r="A4" t="str">
            <v>Ball Bearings</v>
          </cell>
          <cell r="B4" t="str">
            <v>Store &amp; Spares</v>
          </cell>
          <cell r="C4" t="str">
            <v>41b4f572-f97f-4c67-9dc8-7fea21148321-00001f5d</v>
          </cell>
        </row>
        <row r="5">
          <cell r="A5" t="str">
            <v>Cement</v>
          </cell>
          <cell r="B5" t="str">
            <v>Store &amp; Spares</v>
          </cell>
          <cell r="C5" t="str">
            <v>41b4f572-f97f-4c67-9dc8-7fea21148321-00001f5d</v>
          </cell>
        </row>
        <row r="6">
          <cell r="A6" t="str">
            <v>Corrugated Boxes</v>
          </cell>
          <cell r="B6" t="str">
            <v>Packing Material Stock</v>
          </cell>
          <cell r="C6" t="str">
            <v>41b4f572-f97f-4c67-9dc8-7fea21148321-000000a6</v>
          </cell>
        </row>
        <row r="7">
          <cell r="A7" t="str">
            <v>DECOLIN</v>
          </cell>
          <cell r="B7" t="str">
            <v>Finished Goods Stock</v>
          </cell>
          <cell r="C7" t="str">
            <v>41b4f572-f97f-4c67-9dc8-7fea21148321-000000a5</v>
          </cell>
        </row>
        <row r="8">
          <cell r="A8" t="str">
            <v>DECOLIN-DS</v>
          </cell>
          <cell r="B8" t="str">
            <v>Finished Goods Stock</v>
          </cell>
          <cell r="C8" t="str">
            <v>41b4f572-f97f-4c67-9dc8-7fea21148321-000000a5</v>
          </cell>
        </row>
        <row r="9">
          <cell r="A9" t="str">
            <v>Decolite</v>
          </cell>
          <cell r="B9" t="str">
            <v>Finished Goods Stock</v>
          </cell>
          <cell r="C9" t="str">
            <v>41b4f572-f97f-4c67-9dc8-7fea21148321-000000a5</v>
          </cell>
        </row>
        <row r="10">
          <cell r="A10" t="str">
            <v>Decolite-Depo</v>
          </cell>
          <cell r="B10" t="str">
            <v>Finished Goods Stock</v>
          </cell>
          <cell r="C10" t="str">
            <v>41b4f572-f97f-4c67-9dc8-7fea21148321-000000a5</v>
          </cell>
        </row>
        <row r="11">
          <cell r="A11" t="str">
            <v>Drum and Carbouys</v>
          </cell>
          <cell r="B11" t="str">
            <v>Packing Material Stock</v>
          </cell>
          <cell r="C11" t="str">
            <v>41b4f572-f97f-4c67-9dc8-7fea21148321-000000a6</v>
          </cell>
        </row>
        <row r="12">
          <cell r="A12" t="str">
            <v>Electric Items</v>
          </cell>
          <cell r="B12" t="str">
            <v>Store &amp; Spares</v>
          </cell>
          <cell r="C12" t="str">
            <v>41b4f572-f97f-4c67-9dc8-7fea21148321-00001f5d</v>
          </cell>
        </row>
        <row r="13">
          <cell r="A13" t="str">
            <v>Electric Motors</v>
          </cell>
          <cell r="B13" t="str">
            <v>Store &amp; Spares</v>
          </cell>
          <cell r="C13" t="str">
            <v>41b4f572-f97f-4c67-9dc8-7fea21148321-00001f5d</v>
          </cell>
        </row>
        <row r="14">
          <cell r="A14" t="str">
            <v>Engineering Goods</v>
          </cell>
          <cell r="B14" t="str">
            <v>Store &amp; Spares</v>
          </cell>
          <cell r="C14" t="str">
            <v>41b4f572-f97f-4c67-9dc8-7fea21148321-00001f5d</v>
          </cell>
        </row>
        <row r="15">
          <cell r="A15" t="str">
            <v>Filter Cloths-PP &amp;Nutch</v>
          </cell>
          <cell r="B15" t="str">
            <v>Store &amp; Spares</v>
          </cell>
          <cell r="C15" t="str">
            <v>41b4f572-f97f-4c67-9dc8-7fea21148321-00001f5d</v>
          </cell>
        </row>
        <row r="16">
          <cell r="A16" t="str">
            <v>Finished Goods Stock</v>
          </cell>
        </row>
        <row r="17">
          <cell r="A17" t="str">
            <v>Fuel  &amp; Gas</v>
          </cell>
        </row>
        <row r="18">
          <cell r="A18" t="str">
            <v>HDPE Bags</v>
          </cell>
          <cell r="B18" t="str">
            <v>Packing Material Stock</v>
          </cell>
          <cell r="C18" t="str">
            <v>41b4f572-f97f-4c67-9dc8-7fea21148321-000000a6</v>
          </cell>
        </row>
        <row r="19">
          <cell r="A19" t="str">
            <v>Hydrosulphite</v>
          </cell>
          <cell r="B19" t="str">
            <v>Finished Goods Stock</v>
          </cell>
          <cell r="C19" t="str">
            <v>41b4f572-f97f-4c67-9dc8-7fea21148321-000000a5</v>
          </cell>
        </row>
        <row r="20">
          <cell r="A20" t="str">
            <v>Hydrosulphite-Depo</v>
          </cell>
          <cell r="B20" t="str">
            <v>Finished Goods Stock</v>
          </cell>
          <cell r="C20" t="str">
            <v>41b4f572-f97f-4c67-9dc8-7fea21148321-000000a5</v>
          </cell>
        </row>
        <row r="21">
          <cell r="A21" t="str">
            <v>Jumbo Bags</v>
          </cell>
          <cell r="B21" t="str">
            <v>Packing Material Stock</v>
          </cell>
          <cell r="C21" t="str">
            <v>41b4f572-f97f-4c67-9dc8-7fea21148321-000000a6</v>
          </cell>
        </row>
        <row r="22">
          <cell r="A22" t="str">
            <v>Laboratory Materials</v>
          </cell>
          <cell r="B22" t="str">
            <v>Store &amp; Spares</v>
          </cell>
          <cell r="C22" t="str">
            <v>41b4f572-f97f-4c67-9dc8-7fea21148321-00001f5d</v>
          </cell>
        </row>
        <row r="23">
          <cell r="A23" t="str">
            <v>Ld Inner Bags</v>
          </cell>
          <cell r="B23" t="str">
            <v>Packing Material Stock</v>
          </cell>
          <cell r="C23" t="str">
            <v>41b4f572-f97f-4c67-9dc8-7fea21148321-000000a6</v>
          </cell>
        </row>
        <row r="24">
          <cell r="A24" t="str">
            <v>LDPE BAG 18X 36</v>
          </cell>
          <cell r="B24" t="str">
            <v>Packing Material Stock</v>
          </cell>
          <cell r="C24" t="str">
            <v>41b4f572-f97f-4c67-9dc8-7fea21148321-000000a6</v>
          </cell>
        </row>
        <row r="25">
          <cell r="A25" t="str">
            <v>M-Tube-Imported</v>
          </cell>
          <cell r="B25" t="str">
            <v>Store &amp; Spares</v>
          </cell>
          <cell r="C25" t="str">
            <v>41b4f572-f97f-4c67-9dc8-7fea21148321-00001f5d</v>
          </cell>
        </row>
        <row r="26">
          <cell r="A26" t="str">
            <v>NUTCH CLOTH 103 DIA PS 165</v>
          </cell>
        </row>
        <row r="27">
          <cell r="A27" t="str">
            <v>OIL</v>
          </cell>
          <cell r="B27" t="str">
            <v>Raw Material Stock</v>
          </cell>
          <cell r="C27" t="str">
            <v>41b4f572-f97f-4c67-9dc8-7fea21148321-000000a7</v>
          </cell>
        </row>
        <row r="28">
          <cell r="A28" t="str">
            <v>Other Misc Purchase</v>
          </cell>
        </row>
        <row r="29">
          <cell r="A29" t="str">
            <v>Other Store Items</v>
          </cell>
          <cell r="B29" t="str">
            <v>Store &amp; Spares</v>
          </cell>
          <cell r="C29" t="str">
            <v>41b4f572-f97f-4c67-9dc8-7fea21148321-00001f5d</v>
          </cell>
        </row>
        <row r="30">
          <cell r="A30" t="str">
            <v>Packing Material Stock</v>
          </cell>
        </row>
        <row r="31">
          <cell r="A31" t="str">
            <v>Paper Bags</v>
          </cell>
          <cell r="B31" t="str">
            <v>Packing Material Stock</v>
          </cell>
          <cell r="C31" t="str">
            <v>41b4f572-f97f-4c67-9dc8-7fea21148321-000000a6</v>
          </cell>
        </row>
        <row r="32">
          <cell r="A32" t="str">
            <v>Pipes-Fitting,Flanges Bend Elbow</v>
          </cell>
          <cell r="B32" t="str">
            <v>Store &amp; Spares</v>
          </cell>
          <cell r="C32" t="str">
            <v>41b4f572-f97f-4c67-9dc8-7fea21148321-00001f5d</v>
          </cell>
        </row>
        <row r="33">
          <cell r="A33" t="str">
            <v>Pouch Bags</v>
          </cell>
          <cell r="B33" t="str">
            <v>Packing Material Stock</v>
          </cell>
          <cell r="C33" t="str">
            <v>41b4f572-f97f-4c67-9dc8-7fea21148321-000000a6</v>
          </cell>
        </row>
        <row r="34">
          <cell r="A34" t="str">
            <v>Professional &amp; Other Suport Service</v>
          </cell>
        </row>
        <row r="35">
          <cell r="A35" t="str">
            <v>Raw Material Stock</v>
          </cell>
        </row>
        <row r="36">
          <cell r="A36" t="str">
            <v>Spares for Akay Pumps</v>
          </cell>
          <cell r="B36" t="str">
            <v>Store &amp; Spares</v>
          </cell>
          <cell r="C36" t="str">
            <v>41b4f572-f97f-4c67-9dc8-7fea21148321-00001f5d</v>
          </cell>
        </row>
        <row r="37">
          <cell r="A37" t="str">
            <v>Spares for Boiler</v>
          </cell>
          <cell r="B37" t="str">
            <v>Store &amp; Spares</v>
          </cell>
          <cell r="C37" t="str">
            <v>41b4f572-f97f-4c67-9dc8-7fea21148321-00001f5d</v>
          </cell>
        </row>
        <row r="38">
          <cell r="A38" t="str">
            <v>Spares for Compressors</v>
          </cell>
          <cell r="B38" t="str">
            <v>Store &amp; Spares</v>
          </cell>
          <cell r="C38" t="str">
            <v>41b4f572-f97f-4c67-9dc8-7fea21148321-00001f5d</v>
          </cell>
        </row>
        <row r="39">
          <cell r="A39" t="str">
            <v>Spares for D.G.Set</v>
          </cell>
          <cell r="B39" t="str">
            <v>Store &amp; Spares</v>
          </cell>
          <cell r="C39" t="str">
            <v>41b4f572-f97f-4c67-9dc8-7fea21148321-00001f5d</v>
          </cell>
        </row>
        <row r="40">
          <cell r="A40" t="str">
            <v>S.S.Nut Bolts</v>
          </cell>
          <cell r="B40" t="str">
            <v>Store &amp; Spares</v>
          </cell>
          <cell r="C40" t="str">
            <v>41b4f572-f97f-4c67-9dc8-7fea21148321-00001f5d</v>
          </cell>
        </row>
        <row r="41">
          <cell r="A41" t="str">
            <v>Stock Other Material (Sales)</v>
          </cell>
        </row>
        <row r="42">
          <cell r="A42" t="str">
            <v>Store Items at Powerplant</v>
          </cell>
          <cell r="B42" t="str">
            <v>Store &amp; Spares</v>
          </cell>
          <cell r="C42" t="str">
            <v>41b4f572-f97f-4c67-9dc8-7fea21148321-00001f5d</v>
          </cell>
        </row>
        <row r="43">
          <cell r="A43" t="str">
            <v>Store Items at Zinc Unit</v>
          </cell>
          <cell r="B43" t="str">
            <v>Store &amp; Spares</v>
          </cell>
          <cell r="C43" t="str">
            <v>41b4f572-f97f-4c67-9dc8-7fea21148321-00001f5d</v>
          </cell>
        </row>
        <row r="44">
          <cell r="A44" t="str">
            <v>Store &amp; Spares</v>
          </cell>
          <cell r="B44" t="str">
            <v>Other Misc Purchase</v>
          </cell>
          <cell r="C44" t="str">
            <v>41b4f572-f97f-4c67-9dc8-7fea21148321-000004a9</v>
          </cell>
        </row>
        <row r="45">
          <cell r="A45" t="str">
            <v>Tar Steel</v>
          </cell>
          <cell r="B45" t="str">
            <v>Store &amp; Spares</v>
          </cell>
          <cell r="C45" t="str">
            <v>41b4f572-f97f-4c67-9dc8-7fea21148321-00001f5d</v>
          </cell>
        </row>
        <row r="46">
          <cell r="A46" t="str">
            <v>Valves</v>
          </cell>
          <cell r="B46" t="str">
            <v>Store &amp; Spares</v>
          </cell>
          <cell r="C46" t="str">
            <v>41b4f572-f97f-4c67-9dc8-7fea21148321-00001f5d</v>
          </cell>
        </row>
        <row r="47">
          <cell r="A47" t="str">
            <v>V.Belts</v>
          </cell>
          <cell r="B47" t="str">
            <v>Store &amp; Spares</v>
          </cell>
          <cell r="C47" t="str">
            <v>41b4f572-f97f-4c67-9dc8-7fea21148321-00001f5d</v>
          </cell>
        </row>
        <row r="48">
          <cell r="A48" t="str">
            <v>WIP</v>
          </cell>
        </row>
        <row r="49">
          <cell r="A49" t="str">
            <v>Zinc Oxide</v>
          </cell>
          <cell r="B49" t="str">
            <v>Finished Goods Stock</v>
          </cell>
          <cell r="C49" t="str">
            <v>41b4f572-f97f-4c67-9dc8-7fea21148321-000000a5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4"/>
  <sheetViews>
    <sheetView tabSelected="1" workbookViewId="0">
      <selection activeCell="E8" sqref="E8"/>
    </sheetView>
  </sheetViews>
  <sheetFormatPr defaultColWidth="9.14285714285714" defaultRowHeight="15"/>
  <cols>
    <col min="1" max="8" width="10.2857142857143" style="1"/>
    <col min="9" max="10" width="9.14285714285714" style="1"/>
  </cols>
  <sheetData>
    <row r="1" spans="1:9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>
      <c r="A2" s="1" t="s">
        <v>9</v>
      </c>
      <c r="B2" s="1">
        <v>62842</v>
      </c>
      <c r="C2" s="1" t="s">
        <v>10</v>
      </c>
      <c r="D2" s="1" t="s">
        <v>11</v>
      </c>
      <c r="E2" s="1" t="s">
        <v>12</v>
      </c>
      <c r="F2" s="1"/>
      <c r="G2" s="1" t="s">
        <v>13</v>
      </c>
      <c r="H2" s="1" t="s">
        <v>14</v>
      </c>
      <c r="I2" s="1" t="str">
        <f>IFERROR(VLOOKUP(D2,'[1]from mst_stock_group'!A:C,2,0),"")</f>
        <v>Packing Material Stock</v>
      </c>
    </row>
    <row r="3" spans="1:9">
      <c r="A3" s="1" t="s">
        <v>15</v>
      </c>
      <c r="B3" s="1">
        <v>62843</v>
      </c>
      <c r="C3" s="1" t="s">
        <v>16</v>
      </c>
      <c r="D3" s="1" t="s">
        <v>11</v>
      </c>
      <c r="E3" s="1" t="s">
        <v>12</v>
      </c>
      <c r="F3" s="1"/>
      <c r="G3" s="1" t="s">
        <v>13</v>
      </c>
      <c r="H3" s="1" t="s">
        <v>14</v>
      </c>
      <c r="I3" s="1" t="str">
        <f>IFERROR(VLOOKUP(D3,'[1]from mst_stock_group'!A:C,2,0),"")</f>
        <v>Packing Material Stock</v>
      </c>
    </row>
    <row r="4" spans="1:9">
      <c r="A4" s="1" t="s">
        <v>17</v>
      </c>
      <c r="B4" s="1">
        <v>62844</v>
      </c>
      <c r="C4" s="1" t="s">
        <v>18</v>
      </c>
      <c r="D4" s="1" t="s">
        <v>11</v>
      </c>
      <c r="E4" s="1" t="s">
        <v>12</v>
      </c>
      <c r="F4" s="1"/>
      <c r="G4" s="1" t="s">
        <v>13</v>
      </c>
      <c r="H4" s="1" t="s">
        <v>14</v>
      </c>
      <c r="I4" s="1" t="str">
        <f>IFERROR(VLOOKUP(D4,'[1]from mst_stock_group'!A:C,2,0),"")</f>
        <v>Packing Material Stock</v>
      </c>
    </row>
    <row r="5" spans="1:9">
      <c r="A5" s="1" t="s">
        <v>19</v>
      </c>
      <c r="B5" s="1">
        <v>62848</v>
      </c>
      <c r="C5" s="1" t="s">
        <v>20</v>
      </c>
      <c r="D5" s="1" t="s">
        <v>11</v>
      </c>
      <c r="E5" s="1" t="s">
        <v>12</v>
      </c>
      <c r="F5" s="1"/>
      <c r="G5" s="1" t="s">
        <v>13</v>
      </c>
      <c r="H5" s="1" t="s">
        <v>14</v>
      </c>
      <c r="I5" s="1" t="str">
        <f>IFERROR(VLOOKUP(D5,'[1]from mst_stock_group'!A:C,2,0),"")</f>
        <v>Packing Material Stock</v>
      </c>
    </row>
    <row r="6" spans="1:9">
      <c r="A6" s="1" t="s">
        <v>21</v>
      </c>
      <c r="B6" s="1">
        <v>62845</v>
      </c>
      <c r="C6" s="1" t="s">
        <v>22</v>
      </c>
      <c r="D6" s="1" t="s">
        <v>11</v>
      </c>
      <c r="E6" s="1" t="s">
        <v>12</v>
      </c>
      <c r="F6" s="1"/>
      <c r="G6" s="1" t="s">
        <v>13</v>
      </c>
      <c r="H6" s="1" t="s">
        <v>14</v>
      </c>
      <c r="I6" s="1" t="str">
        <f>IFERROR(VLOOKUP(D6,'[1]from mst_stock_group'!A:C,2,0),"")</f>
        <v>Packing Material Stock</v>
      </c>
    </row>
    <row r="7" spans="1:9">
      <c r="A7" s="1" t="s">
        <v>23</v>
      </c>
      <c r="B7" s="1">
        <v>62847</v>
      </c>
      <c r="C7" s="1" t="s">
        <v>24</v>
      </c>
      <c r="D7" s="1" t="s">
        <v>11</v>
      </c>
      <c r="E7" s="1" t="s">
        <v>12</v>
      </c>
      <c r="F7" s="1"/>
      <c r="G7" s="1" t="s">
        <v>13</v>
      </c>
      <c r="H7" s="1" t="s">
        <v>14</v>
      </c>
      <c r="I7" s="1" t="str">
        <f>IFERROR(VLOOKUP(D7,'[1]from mst_stock_group'!A:C,2,0),"")</f>
        <v>Packing Material Stock</v>
      </c>
    </row>
    <row r="8" spans="1:9">
      <c r="A8" s="1" t="s">
        <v>25</v>
      </c>
      <c r="B8" s="1">
        <v>62849</v>
      </c>
      <c r="C8" s="1" t="s">
        <v>26</v>
      </c>
      <c r="D8" s="1" t="s">
        <v>11</v>
      </c>
      <c r="E8" s="1" t="s">
        <v>12</v>
      </c>
      <c r="F8" s="1"/>
      <c r="G8" s="1" t="s">
        <v>13</v>
      </c>
      <c r="H8" s="1" t="s">
        <v>14</v>
      </c>
      <c r="I8" s="1" t="str">
        <f>IFERROR(VLOOKUP(D8,'[1]from mst_stock_group'!A:C,2,0),"")</f>
        <v>Packing Material Stock</v>
      </c>
    </row>
    <row r="9" spans="1:9">
      <c r="A9" s="1" t="s">
        <v>27</v>
      </c>
      <c r="B9" s="1">
        <v>62850</v>
      </c>
      <c r="C9" s="1" t="s">
        <v>28</v>
      </c>
      <c r="D9" s="1" t="s">
        <v>11</v>
      </c>
      <c r="E9" s="1" t="s">
        <v>12</v>
      </c>
      <c r="F9" s="1"/>
      <c r="G9" s="1" t="s">
        <v>13</v>
      </c>
      <c r="H9" s="1" t="s">
        <v>14</v>
      </c>
      <c r="I9" s="1" t="str">
        <f>IFERROR(VLOOKUP(D9,'[1]from mst_stock_group'!A:C,2,0),"")</f>
        <v>Packing Material Stock</v>
      </c>
    </row>
    <row r="10" spans="1:9">
      <c r="A10" s="1" t="s">
        <v>29</v>
      </c>
      <c r="B10" s="1">
        <v>62851</v>
      </c>
      <c r="C10" s="1" t="s">
        <v>30</v>
      </c>
      <c r="D10" s="1" t="s">
        <v>11</v>
      </c>
      <c r="E10" s="1" t="s">
        <v>12</v>
      </c>
      <c r="F10" s="1"/>
      <c r="G10" s="1" t="s">
        <v>13</v>
      </c>
      <c r="H10" s="1" t="s">
        <v>14</v>
      </c>
      <c r="I10" s="1" t="str">
        <f>IFERROR(VLOOKUP(D10,'[1]from mst_stock_group'!A:C,2,0),"")</f>
        <v>Packing Material Stock</v>
      </c>
    </row>
    <row r="11" spans="1:9">
      <c r="A11" s="1" t="s">
        <v>31</v>
      </c>
      <c r="B11" s="1">
        <v>62852</v>
      </c>
      <c r="C11" s="1" t="s">
        <v>32</v>
      </c>
      <c r="D11" s="1" t="s">
        <v>11</v>
      </c>
      <c r="E11" s="1" t="s">
        <v>12</v>
      </c>
      <c r="F11" s="1"/>
      <c r="G11" s="1" t="s">
        <v>13</v>
      </c>
      <c r="H11" s="1" t="s">
        <v>14</v>
      </c>
      <c r="I11" s="1" t="str">
        <f>IFERROR(VLOOKUP(D11,'[1]from mst_stock_group'!A:C,2,0),"")</f>
        <v>Packing Material Stock</v>
      </c>
    </row>
    <row r="12" spans="1:9">
      <c r="A12" s="1" t="s">
        <v>33</v>
      </c>
      <c r="B12" s="1">
        <v>62855</v>
      </c>
      <c r="C12" s="1" t="s">
        <v>34</v>
      </c>
      <c r="D12" s="1" t="s">
        <v>11</v>
      </c>
      <c r="E12" s="1" t="s">
        <v>12</v>
      </c>
      <c r="F12" s="1"/>
      <c r="G12" s="1" t="s">
        <v>13</v>
      </c>
      <c r="H12" s="1" t="s">
        <v>14</v>
      </c>
      <c r="I12" s="1" t="str">
        <f>IFERROR(VLOOKUP(D12,'[1]from mst_stock_group'!A:C,2,0),"")</f>
        <v>Packing Material Stock</v>
      </c>
    </row>
    <row r="13" spans="1:9">
      <c r="A13" s="1" t="s">
        <v>35</v>
      </c>
      <c r="B13" s="1">
        <v>62853</v>
      </c>
      <c r="C13" s="1" t="s">
        <v>36</v>
      </c>
      <c r="D13" s="1" t="s">
        <v>11</v>
      </c>
      <c r="E13" s="1" t="s">
        <v>12</v>
      </c>
      <c r="F13" s="1"/>
      <c r="G13" s="1" t="s">
        <v>13</v>
      </c>
      <c r="H13" s="1" t="s">
        <v>14</v>
      </c>
      <c r="I13" s="1" t="str">
        <f>IFERROR(VLOOKUP(D13,'[1]from mst_stock_group'!A:C,2,0),"")</f>
        <v>Packing Material Stock</v>
      </c>
    </row>
    <row r="14" spans="1:9">
      <c r="A14" s="1" t="s">
        <v>37</v>
      </c>
      <c r="B14" s="1">
        <v>62905</v>
      </c>
      <c r="C14" s="1" t="s">
        <v>38</v>
      </c>
      <c r="D14" s="1" t="s">
        <v>11</v>
      </c>
      <c r="E14" s="1" t="s">
        <v>12</v>
      </c>
      <c r="F14" s="1"/>
      <c r="G14" s="1" t="s">
        <v>13</v>
      </c>
      <c r="H14" s="1" t="s">
        <v>14</v>
      </c>
      <c r="I14" s="1" t="str">
        <f>IFERROR(VLOOKUP(D14,'[1]from mst_stock_group'!A:C,2,0),"")</f>
        <v>Packing Material Stock</v>
      </c>
    </row>
    <row r="15" spans="1:9">
      <c r="A15" s="1" t="s">
        <v>39</v>
      </c>
      <c r="B15" s="1">
        <v>62854</v>
      </c>
      <c r="C15" s="1" t="s">
        <v>40</v>
      </c>
      <c r="D15" s="1" t="s">
        <v>11</v>
      </c>
      <c r="E15" s="1" t="s">
        <v>12</v>
      </c>
      <c r="F15" s="1"/>
      <c r="G15" s="1" t="s">
        <v>13</v>
      </c>
      <c r="H15" s="1" t="s">
        <v>14</v>
      </c>
      <c r="I15" s="1" t="str">
        <f>IFERROR(VLOOKUP(D15,'[1]from mst_stock_group'!A:C,2,0),"")</f>
        <v>Packing Material Stock</v>
      </c>
    </row>
    <row r="16" spans="1:9">
      <c r="A16" s="1" t="s">
        <v>41</v>
      </c>
      <c r="B16" s="1">
        <v>62857</v>
      </c>
      <c r="C16" s="1" t="s">
        <v>42</v>
      </c>
      <c r="D16" s="1" t="s">
        <v>11</v>
      </c>
      <c r="E16" s="1" t="s">
        <v>12</v>
      </c>
      <c r="F16" s="1"/>
      <c r="G16" s="1" t="s">
        <v>13</v>
      </c>
      <c r="H16" s="1" t="s">
        <v>14</v>
      </c>
      <c r="I16" s="1" t="str">
        <f>IFERROR(VLOOKUP(D16,'[1]from mst_stock_group'!A:C,2,0),"")</f>
        <v>Packing Material Stock</v>
      </c>
    </row>
    <row r="17" spans="1:9">
      <c r="A17" s="1" t="s">
        <v>43</v>
      </c>
      <c r="B17" s="1">
        <v>62967</v>
      </c>
      <c r="C17" s="1" t="s">
        <v>44</v>
      </c>
      <c r="D17" s="1" t="s">
        <v>11</v>
      </c>
      <c r="E17" s="1" t="s">
        <v>12</v>
      </c>
      <c r="F17" s="1"/>
      <c r="G17" s="1" t="s">
        <v>13</v>
      </c>
      <c r="H17" s="1" t="s">
        <v>14</v>
      </c>
      <c r="I17" s="1" t="str">
        <f>IFERROR(VLOOKUP(D17,'[1]from mst_stock_group'!A:C,2,0),"")</f>
        <v>Packing Material Stock</v>
      </c>
    </row>
    <row r="18" spans="1:9">
      <c r="A18" s="1" t="s">
        <v>45</v>
      </c>
      <c r="B18" s="1">
        <v>62858</v>
      </c>
      <c r="C18" s="1" t="s">
        <v>46</v>
      </c>
      <c r="D18" s="1" t="s">
        <v>11</v>
      </c>
      <c r="E18" s="1" t="s">
        <v>12</v>
      </c>
      <c r="F18" s="1"/>
      <c r="G18" s="1" t="s">
        <v>13</v>
      </c>
      <c r="H18" s="1" t="s">
        <v>14</v>
      </c>
      <c r="I18" s="1" t="str">
        <f>IFERROR(VLOOKUP(D18,'[1]from mst_stock_group'!A:C,2,0),"")</f>
        <v>Packing Material Stock</v>
      </c>
    </row>
    <row r="19" spans="1:9">
      <c r="A19" s="1" t="s">
        <v>47</v>
      </c>
      <c r="B19" s="1">
        <v>62859</v>
      </c>
      <c r="C19" s="1" t="s">
        <v>48</v>
      </c>
      <c r="D19" s="1" t="s">
        <v>11</v>
      </c>
      <c r="E19" s="1" t="s">
        <v>12</v>
      </c>
      <c r="F19" s="1"/>
      <c r="G19" s="1" t="s">
        <v>13</v>
      </c>
      <c r="H19" s="1" t="s">
        <v>14</v>
      </c>
      <c r="I19" s="1" t="str">
        <f>IFERROR(VLOOKUP(D19,'[1]from mst_stock_group'!A:C,2,0),"")</f>
        <v>Packing Material Stock</v>
      </c>
    </row>
    <row r="20" spans="1:9">
      <c r="A20" s="1" t="s">
        <v>49</v>
      </c>
      <c r="B20" s="1">
        <v>62846</v>
      </c>
      <c r="C20" s="1" t="s">
        <v>50</v>
      </c>
      <c r="D20" s="1" t="s">
        <v>11</v>
      </c>
      <c r="E20" s="1" t="s">
        <v>12</v>
      </c>
      <c r="F20" s="1"/>
      <c r="G20" s="1" t="s">
        <v>13</v>
      </c>
      <c r="H20" s="1" t="s">
        <v>14</v>
      </c>
      <c r="I20" s="1" t="str">
        <f>IFERROR(VLOOKUP(D20,'[1]from mst_stock_group'!A:C,2,0),"")</f>
        <v>Packing Material Stock</v>
      </c>
    </row>
    <row r="21" spans="1:9">
      <c r="A21" s="1" t="s">
        <v>51</v>
      </c>
      <c r="B21" s="1">
        <v>62856</v>
      </c>
      <c r="C21" s="1" t="s">
        <v>52</v>
      </c>
      <c r="D21" s="1" t="s">
        <v>11</v>
      </c>
      <c r="E21" s="1" t="s">
        <v>12</v>
      </c>
      <c r="F21" s="1"/>
      <c r="G21" s="1" t="s">
        <v>13</v>
      </c>
      <c r="H21" s="1" t="s">
        <v>14</v>
      </c>
      <c r="I21" s="1" t="str">
        <f>IFERROR(VLOOKUP(D21,'[1]from mst_stock_group'!A:C,2,0),"")</f>
        <v>Packing Material Stock</v>
      </c>
    </row>
    <row r="22" spans="1:9">
      <c r="A22" s="1" t="s">
        <v>53</v>
      </c>
      <c r="B22" s="1">
        <v>63145</v>
      </c>
      <c r="C22" s="1" t="s">
        <v>54</v>
      </c>
      <c r="D22" s="1" t="s">
        <v>55</v>
      </c>
      <c r="E22" s="1" t="s">
        <v>56</v>
      </c>
      <c r="F22" s="1"/>
      <c r="G22" s="1" t="s">
        <v>57</v>
      </c>
      <c r="H22" s="1" t="s">
        <v>58</v>
      </c>
      <c r="I22" s="1" t="str">
        <f>IFERROR(VLOOKUP(D22,'[1]from mst_stock_group'!A:C,2,0),"")</f>
        <v>Packing Material Stock</v>
      </c>
    </row>
    <row r="23" spans="1:9">
      <c r="A23" s="1" t="s">
        <v>59</v>
      </c>
      <c r="B23" s="1">
        <v>62827</v>
      </c>
      <c r="C23" s="1" t="s">
        <v>60</v>
      </c>
      <c r="D23" s="1" t="s">
        <v>61</v>
      </c>
      <c r="E23" s="1" t="s">
        <v>62</v>
      </c>
      <c r="F23" s="1"/>
      <c r="G23" s="1" t="s">
        <v>13</v>
      </c>
      <c r="H23" s="1" t="s">
        <v>14</v>
      </c>
      <c r="I23" s="1">
        <f>IFERROR(VLOOKUP(D23,'[1]from mst_stock_group'!A:C,2,0),"")</f>
        <v>0</v>
      </c>
    </row>
    <row r="24" spans="1:9">
      <c r="A24" s="1" t="s">
        <v>63</v>
      </c>
      <c r="B24" s="1">
        <v>62776</v>
      </c>
      <c r="C24" s="1" t="s">
        <v>64</v>
      </c>
      <c r="D24" s="1" t="s">
        <v>61</v>
      </c>
      <c r="E24" s="1" t="s">
        <v>62</v>
      </c>
      <c r="F24" s="1"/>
      <c r="G24" s="1" t="s">
        <v>13</v>
      </c>
      <c r="H24" s="1" t="s">
        <v>14</v>
      </c>
      <c r="I24" s="1">
        <f>IFERROR(VLOOKUP(D24,'[1]from mst_stock_group'!A:C,2,0),"")</f>
        <v>0</v>
      </c>
    </row>
    <row r="25" spans="1:9">
      <c r="A25" s="1" t="s">
        <v>65</v>
      </c>
      <c r="B25" s="1">
        <v>62948</v>
      </c>
      <c r="C25" s="1" t="s">
        <v>66</v>
      </c>
      <c r="D25" s="1" t="s">
        <v>67</v>
      </c>
      <c r="E25" s="1" t="s">
        <v>68</v>
      </c>
      <c r="F25" s="1"/>
      <c r="G25" s="1" t="s">
        <v>13</v>
      </c>
      <c r="H25" s="1" t="s">
        <v>14</v>
      </c>
      <c r="I25" s="1">
        <f>IFERROR(VLOOKUP(D25,'[1]from mst_stock_group'!A:C,2,0),"")</f>
        <v>0</v>
      </c>
    </row>
    <row r="26" spans="1:9">
      <c r="A26" s="1" t="s">
        <v>69</v>
      </c>
      <c r="B26" s="1">
        <v>64543</v>
      </c>
      <c r="C26" s="1" t="s">
        <v>70</v>
      </c>
      <c r="D26" s="1" t="s">
        <v>55</v>
      </c>
      <c r="E26" s="1" t="s">
        <v>56</v>
      </c>
      <c r="F26" s="1"/>
      <c r="G26" s="1" t="s">
        <v>57</v>
      </c>
      <c r="H26" s="1" t="s">
        <v>58</v>
      </c>
      <c r="I26" s="1" t="str">
        <f>IFERROR(VLOOKUP(D26,'[1]from mst_stock_group'!A:C,2,0),"")</f>
        <v>Packing Material Stock</v>
      </c>
    </row>
    <row r="27" spans="1:9">
      <c r="A27" s="1" t="s">
        <v>71</v>
      </c>
      <c r="B27" s="1">
        <v>64521</v>
      </c>
      <c r="C27" s="1" t="s">
        <v>72</v>
      </c>
      <c r="D27" s="1" t="s">
        <v>73</v>
      </c>
      <c r="E27" s="1" t="s">
        <v>74</v>
      </c>
      <c r="F27" s="1"/>
      <c r="G27" s="1" t="s">
        <v>13</v>
      </c>
      <c r="H27" s="1" t="s">
        <v>14</v>
      </c>
      <c r="I27" s="1" t="str">
        <f>IFERROR(VLOOKUP(D27,'[1]from mst_stock_group'!A:C,2,0),"")</f>
        <v>Packing Material Stock</v>
      </c>
    </row>
    <row r="28" spans="1:9">
      <c r="A28" s="1" t="s">
        <v>75</v>
      </c>
      <c r="B28" s="1">
        <v>63803</v>
      </c>
      <c r="C28" s="1" t="s">
        <v>76</v>
      </c>
      <c r="D28" s="1" t="s">
        <v>61</v>
      </c>
      <c r="E28" s="1" t="s">
        <v>62</v>
      </c>
      <c r="F28" s="1"/>
      <c r="G28" s="1" t="s">
        <v>13</v>
      </c>
      <c r="H28" s="1" t="s">
        <v>14</v>
      </c>
      <c r="I28" s="1">
        <f>IFERROR(VLOOKUP(D28,'[1]from mst_stock_group'!A:C,2,0),"")</f>
        <v>0</v>
      </c>
    </row>
    <row r="29" spans="1:9">
      <c r="A29" s="1" t="s">
        <v>77</v>
      </c>
      <c r="B29" s="1">
        <v>64544</v>
      </c>
      <c r="C29" s="1" t="s">
        <v>78</v>
      </c>
      <c r="D29" s="1" t="s">
        <v>55</v>
      </c>
      <c r="E29" s="1" t="s">
        <v>56</v>
      </c>
      <c r="F29" s="1"/>
      <c r="G29" s="1" t="s">
        <v>57</v>
      </c>
      <c r="H29" s="1" t="s">
        <v>58</v>
      </c>
      <c r="I29" s="1" t="str">
        <f>IFERROR(VLOOKUP(D29,'[1]from mst_stock_group'!A:C,2,0),"")</f>
        <v>Packing Material Stock</v>
      </c>
    </row>
    <row r="30" spans="1:9">
      <c r="A30" s="1" t="s">
        <v>79</v>
      </c>
      <c r="B30" s="1">
        <v>63298</v>
      </c>
      <c r="C30" s="1" t="s">
        <v>80</v>
      </c>
      <c r="D30" s="1" t="s">
        <v>81</v>
      </c>
      <c r="E30" s="1" t="s">
        <v>82</v>
      </c>
      <c r="F30" s="1"/>
      <c r="G30" s="1" t="s">
        <v>13</v>
      </c>
      <c r="H30" s="1" t="s">
        <v>14</v>
      </c>
      <c r="I30" s="1" t="str">
        <f>IFERROR(VLOOKUP(D30,'[1]from mst_stock_group'!A:C,2,0),"")</f>
        <v>Packing Material Stock</v>
      </c>
    </row>
    <row r="31" spans="1:9">
      <c r="A31" s="1" t="s">
        <v>83</v>
      </c>
      <c r="B31" s="1">
        <v>63613</v>
      </c>
      <c r="C31" s="1" t="s">
        <v>84</v>
      </c>
      <c r="D31" s="1" t="s">
        <v>81</v>
      </c>
      <c r="E31" s="1" t="s">
        <v>82</v>
      </c>
      <c r="F31" s="1"/>
      <c r="G31" s="1" t="s">
        <v>13</v>
      </c>
      <c r="H31" s="1" t="s">
        <v>14</v>
      </c>
      <c r="I31" s="1" t="str">
        <f>IFERROR(VLOOKUP(D31,'[1]from mst_stock_group'!A:C,2,0),"")</f>
        <v>Packing Material Stock</v>
      </c>
    </row>
    <row r="32" spans="1:9">
      <c r="A32" s="1" t="s">
        <v>85</v>
      </c>
      <c r="B32" s="1">
        <v>63612</v>
      </c>
      <c r="C32" s="1" t="s">
        <v>86</v>
      </c>
      <c r="D32" s="1" t="s">
        <v>81</v>
      </c>
      <c r="E32" s="1" t="s">
        <v>82</v>
      </c>
      <c r="F32" s="1"/>
      <c r="G32" s="1" t="s">
        <v>13</v>
      </c>
      <c r="H32" s="1" t="s">
        <v>14</v>
      </c>
      <c r="I32" s="1" t="str">
        <f>IFERROR(VLOOKUP(D32,'[1]from mst_stock_group'!A:C,2,0),"")</f>
        <v>Packing Material Stock</v>
      </c>
    </row>
    <row r="33" spans="1:9">
      <c r="A33" s="1" t="s">
        <v>87</v>
      </c>
      <c r="B33" s="1">
        <v>62912</v>
      </c>
      <c r="C33" s="1" t="s">
        <v>88</v>
      </c>
      <c r="D33" s="1" t="s">
        <v>55</v>
      </c>
      <c r="E33" s="1" t="s">
        <v>56</v>
      </c>
      <c r="F33" s="1"/>
      <c r="G33" s="1" t="s">
        <v>57</v>
      </c>
      <c r="H33" s="1" t="s">
        <v>58</v>
      </c>
      <c r="I33" s="1" t="str">
        <f>IFERROR(VLOOKUP(D33,'[1]from mst_stock_group'!A:C,2,0),"")</f>
        <v>Packing Material Stock</v>
      </c>
    </row>
    <row r="34" spans="1:9">
      <c r="A34" s="1" t="s">
        <v>89</v>
      </c>
      <c r="B34" s="1">
        <v>62798</v>
      </c>
      <c r="C34" s="1" t="s">
        <v>90</v>
      </c>
      <c r="D34" s="1" t="s">
        <v>61</v>
      </c>
      <c r="E34" s="1" t="s">
        <v>62</v>
      </c>
      <c r="F34" s="1"/>
      <c r="G34" s="1" t="s">
        <v>13</v>
      </c>
      <c r="H34" s="1" t="s">
        <v>14</v>
      </c>
      <c r="I34" s="1">
        <f>IFERROR(VLOOKUP(D34,'[1]from mst_stock_group'!A:C,2,0),"")</f>
        <v>0</v>
      </c>
    </row>
    <row r="35" spans="1:9">
      <c r="A35" s="1" t="s">
        <v>91</v>
      </c>
      <c r="B35" s="1">
        <v>64545</v>
      </c>
      <c r="C35" s="1" t="s">
        <v>92</v>
      </c>
      <c r="D35" s="1" t="s">
        <v>55</v>
      </c>
      <c r="E35" s="1" t="s">
        <v>56</v>
      </c>
      <c r="F35" s="1"/>
      <c r="G35" s="1" t="s">
        <v>57</v>
      </c>
      <c r="H35" s="1" t="s">
        <v>58</v>
      </c>
      <c r="I35" s="1" t="str">
        <f>IFERROR(VLOOKUP(D35,'[1]from mst_stock_group'!A:C,2,0),"")</f>
        <v>Packing Material Stock</v>
      </c>
    </row>
    <row r="36" spans="1:9">
      <c r="A36" s="1" t="s">
        <v>93</v>
      </c>
      <c r="B36" s="1">
        <v>64546</v>
      </c>
      <c r="C36" s="1" t="s">
        <v>94</v>
      </c>
      <c r="D36" s="1" t="s">
        <v>55</v>
      </c>
      <c r="E36" s="1" t="s">
        <v>56</v>
      </c>
      <c r="F36" s="1"/>
      <c r="G36" s="1" t="s">
        <v>57</v>
      </c>
      <c r="H36" s="1" t="s">
        <v>58</v>
      </c>
      <c r="I36" s="1" t="str">
        <f>IFERROR(VLOOKUP(D36,'[1]from mst_stock_group'!A:C,2,0),"")</f>
        <v>Packing Material Stock</v>
      </c>
    </row>
    <row r="37" spans="1:9">
      <c r="A37" s="1" t="s">
        <v>95</v>
      </c>
      <c r="B37" s="1">
        <v>62809</v>
      </c>
      <c r="C37" s="1" t="s">
        <v>96</v>
      </c>
      <c r="D37" s="1" t="s">
        <v>61</v>
      </c>
      <c r="E37" s="1" t="s">
        <v>62</v>
      </c>
      <c r="F37" s="1"/>
      <c r="G37" s="1" t="s">
        <v>13</v>
      </c>
      <c r="H37" s="1" t="s">
        <v>14</v>
      </c>
      <c r="I37" s="1">
        <f>IFERROR(VLOOKUP(D37,'[1]from mst_stock_group'!A:C,2,0),"")</f>
        <v>0</v>
      </c>
    </row>
    <row r="38" spans="1:9">
      <c r="A38" s="1" t="s">
        <v>97</v>
      </c>
      <c r="B38" s="1">
        <v>62790</v>
      </c>
      <c r="C38" s="1" t="s">
        <v>98</v>
      </c>
      <c r="D38" s="1" t="s">
        <v>61</v>
      </c>
      <c r="E38" s="1" t="s">
        <v>62</v>
      </c>
      <c r="F38" s="1"/>
      <c r="G38" s="1" t="s">
        <v>13</v>
      </c>
      <c r="H38" s="1" t="s">
        <v>14</v>
      </c>
      <c r="I38" s="1">
        <f>IFERROR(VLOOKUP(D38,'[1]from mst_stock_group'!A:C,2,0),"")</f>
        <v>0</v>
      </c>
    </row>
    <row r="39" spans="1:9">
      <c r="A39" s="1" t="s">
        <v>99</v>
      </c>
      <c r="B39" s="1">
        <v>62716</v>
      </c>
      <c r="C39" s="1" t="s">
        <v>100</v>
      </c>
      <c r="D39" s="1" t="s">
        <v>61</v>
      </c>
      <c r="E39" s="1" t="s">
        <v>62</v>
      </c>
      <c r="F39" s="1"/>
      <c r="G39" s="1" t="s">
        <v>13</v>
      </c>
      <c r="H39" s="1" t="s">
        <v>14</v>
      </c>
      <c r="I39" s="1">
        <f>IFERROR(VLOOKUP(D39,'[1]from mst_stock_group'!A:C,2,0),"")</f>
        <v>0</v>
      </c>
    </row>
    <row r="40" spans="1:9">
      <c r="A40" s="1" t="s">
        <v>101</v>
      </c>
      <c r="B40" s="1">
        <v>62762</v>
      </c>
      <c r="C40" s="1" t="s">
        <v>102</v>
      </c>
      <c r="D40" s="1" t="s">
        <v>61</v>
      </c>
      <c r="E40" s="1" t="s">
        <v>62</v>
      </c>
      <c r="F40" s="1"/>
      <c r="G40" s="1" t="s">
        <v>13</v>
      </c>
      <c r="H40" s="1" t="s">
        <v>14</v>
      </c>
      <c r="I40" s="1">
        <f>IFERROR(VLOOKUP(D40,'[1]from mst_stock_group'!A:C,2,0),"")</f>
        <v>0</v>
      </c>
    </row>
    <row r="41" spans="1:9">
      <c r="A41" s="1" t="s">
        <v>103</v>
      </c>
      <c r="B41" s="1">
        <v>62784</v>
      </c>
      <c r="C41" s="1" t="s">
        <v>104</v>
      </c>
      <c r="D41" s="1" t="s">
        <v>61</v>
      </c>
      <c r="E41" s="1" t="s">
        <v>62</v>
      </c>
      <c r="F41" s="1"/>
      <c r="G41" s="1" t="s">
        <v>13</v>
      </c>
      <c r="H41" s="1" t="s">
        <v>14</v>
      </c>
      <c r="I41" s="1">
        <f>IFERROR(VLOOKUP(D41,'[1]from mst_stock_group'!A:C,2,0),"")</f>
        <v>0</v>
      </c>
    </row>
    <row r="42" spans="1:9">
      <c r="A42" s="1" t="s">
        <v>105</v>
      </c>
      <c r="B42" s="1">
        <v>64547</v>
      </c>
      <c r="C42" s="1" t="s">
        <v>106</v>
      </c>
      <c r="D42" s="1" t="s">
        <v>55</v>
      </c>
      <c r="E42" s="1" t="s">
        <v>56</v>
      </c>
      <c r="F42" s="1"/>
      <c r="G42" s="1" t="s">
        <v>57</v>
      </c>
      <c r="H42" s="1" t="s">
        <v>58</v>
      </c>
      <c r="I42" s="1" t="str">
        <f>IFERROR(VLOOKUP(D42,'[1]from mst_stock_group'!A:C,2,0),"")</f>
        <v>Packing Material Stock</v>
      </c>
    </row>
    <row r="43" spans="1:9">
      <c r="A43" s="1" t="s">
        <v>107</v>
      </c>
      <c r="B43" s="1">
        <v>64548</v>
      </c>
      <c r="C43" s="1" t="s">
        <v>108</v>
      </c>
      <c r="D43" s="1" t="s">
        <v>55</v>
      </c>
      <c r="E43" s="1" t="s">
        <v>56</v>
      </c>
      <c r="F43" s="1"/>
      <c r="G43" s="1" t="s">
        <v>57</v>
      </c>
      <c r="H43" s="1" t="s">
        <v>58</v>
      </c>
      <c r="I43" s="1" t="str">
        <f>IFERROR(VLOOKUP(D43,'[1]from mst_stock_group'!A:C,2,0),"")</f>
        <v>Packing Material Stock</v>
      </c>
    </row>
    <row r="44" spans="1:9">
      <c r="A44" s="1" t="s">
        <v>109</v>
      </c>
      <c r="B44" s="1">
        <v>64522</v>
      </c>
      <c r="C44" s="1" t="s">
        <v>110</v>
      </c>
      <c r="D44" s="1" t="s">
        <v>73</v>
      </c>
      <c r="E44" s="1" t="s">
        <v>74</v>
      </c>
      <c r="F44" s="1"/>
      <c r="G44" s="1" t="s">
        <v>13</v>
      </c>
      <c r="H44" s="1" t="s">
        <v>14</v>
      </c>
      <c r="I44" s="1" t="str">
        <f>IFERROR(VLOOKUP(D44,'[1]from mst_stock_group'!A:C,2,0),"")</f>
        <v>Packing Material Stock</v>
      </c>
    </row>
    <row r="45" spans="1:9">
      <c r="A45" s="1" t="s">
        <v>111</v>
      </c>
      <c r="B45" s="1">
        <v>64520</v>
      </c>
      <c r="C45" s="1" t="s">
        <v>112</v>
      </c>
      <c r="D45" s="1" t="s">
        <v>73</v>
      </c>
      <c r="E45" s="1" t="s">
        <v>74</v>
      </c>
      <c r="F45" s="1"/>
      <c r="G45" s="1" t="s">
        <v>13</v>
      </c>
      <c r="H45" s="1" t="s">
        <v>14</v>
      </c>
      <c r="I45" s="1" t="str">
        <f>IFERROR(VLOOKUP(D45,'[1]from mst_stock_group'!A:C,2,0),"")</f>
        <v>Packing Material Stock</v>
      </c>
    </row>
    <row r="46" spans="1:9">
      <c r="A46" s="1" t="s">
        <v>113</v>
      </c>
      <c r="B46" s="1">
        <v>64549</v>
      </c>
      <c r="C46" s="1" t="s">
        <v>114</v>
      </c>
      <c r="D46" s="1" t="s">
        <v>55</v>
      </c>
      <c r="E46" s="1" t="s">
        <v>56</v>
      </c>
      <c r="F46" s="1"/>
      <c r="G46" s="1" t="s">
        <v>57</v>
      </c>
      <c r="H46" s="1" t="s">
        <v>58</v>
      </c>
      <c r="I46" s="1" t="str">
        <f>IFERROR(VLOOKUP(D46,'[1]from mst_stock_group'!A:C,2,0),"")</f>
        <v>Packing Material Stock</v>
      </c>
    </row>
    <row r="47" spans="1:9">
      <c r="A47" s="1" t="s">
        <v>115</v>
      </c>
      <c r="B47" s="1">
        <v>62718</v>
      </c>
      <c r="C47" s="1" t="s">
        <v>116</v>
      </c>
      <c r="D47" s="1" t="s">
        <v>61</v>
      </c>
      <c r="E47" s="1" t="s">
        <v>62</v>
      </c>
      <c r="F47" s="1"/>
      <c r="G47" s="1" t="s">
        <v>13</v>
      </c>
      <c r="H47" s="1" t="s">
        <v>14</v>
      </c>
      <c r="I47" s="1">
        <f>IFERROR(VLOOKUP(D47,'[1]from mst_stock_group'!A:C,2,0),"")</f>
        <v>0</v>
      </c>
    </row>
    <row r="48" spans="1:9">
      <c r="A48" s="1" t="s">
        <v>117</v>
      </c>
      <c r="B48" s="1">
        <v>62722</v>
      </c>
      <c r="C48" s="1" t="s">
        <v>118</v>
      </c>
      <c r="D48" s="1" t="s">
        <v>61</v>
      </c>
      <c r="E48" s="1" t="s">
        <v>62</v>
      </c>
      <c r="F48" s="1"/>
      <c r="G48" s="1" t="s">
        <v>13</v>
      </c>
      <c r="H48" s="1" t="s">
        <v>14</v>
      </c>
      <c r="I48" s="1">
        <f>IFERROR(VLOOKUP(D48,'[1]from mst_stock_group'!A:C,2,0),"")</f>
        <v>0</v>
      </c>
    </row>
    <row r="49" spans="1:9">
      <c r="A49" s="1" t="s">
        <v>119</v>
      </c>
      <c r="B49" s="1">
        <v>62785</v>
      </c>
      <c r="C49" s="1" t="s">
        <v>120</v>
      </c>
      <c r="D49" s="1" t="s">
        <v>61</v>
      </c>
      <c r="E49" s="1" t="s">
        <v>62</v>
      </c>
      <c r="F49" s="1"/>
      <c r="G49" s="1" t="s">
        <v>13</v>
      </c>
      <c r="H49" s="1" t="s">
        <v>14</v>
      </c>
      <c r="I49" s="1">
        <f>IFERROR(VLOOKUP(D49,'[1]from mst_stock_group'!A:C,2,0),"")</f>
        <v>0</v>
      </c>
    </row>
    <row r="50" spans="1:9">
      <c r="A50" s="1" t="s">
        <v>121</v>
      </c>
      <c r="B50" s="1">
        <v>62717</v>
      </c>
      <c r="C50" s="1" t="s">
        <v>122</v>
      </c>
      <c r="D50" s="1" t="s">
        <v>61</v>
      </c>
      <c r="E50" s="1" t="s">
        <v>62</v>
      </c>
      <c r="F50" s="1"/>
      <c r="G50" s="1" t="s">
        <v>13</v>
      </c>
      <c r="H50" s="1" t="s">
        <v>14</v>
      </c>
      <c r="I50" s="1">
        <f>IFERROR(VLOOKUP(D50,'[1]from mst_stock_group'!A:C,2,0),"")</f>
        <v>0</v>
      </c>
    </row>
    <row r="51" spans="1:9">
      <c r="A51" s="1" t="s">
        <v>123</v>
      </c>
      <c r="B51" s="1">
        <v>62780</v>
      </c>
      <c r="C51" s="1" t="s">
        <v>124</v>
      </c>
      <c r="D51" s="1" t="s">
        <v>61</v>
      </c>
      <c r="E51" s="1" t="s">
        <v>62</v>
      </c>
      <c r="F51" s="1"/>
      <c r="G51" s="1" t="s">
        <v>13</v>
      </c>
      <c r="H51" s="1" t="s">
        <v>14</v>
      </c>
      <c r="I51" s="1">
        <f>IFERROR(VLOOKUP(D51,'[1]from mst_stock_group'!A:C,2,0),"")</f>
        <v>0</v>
      </c>
    </row>
    <row r="52" spans="1:9">
      <c r="A52" s="1" t="s">
        <v>125</v>
      </c>
      <c r="B52" s="1">
        <v>62783</v>
      </c>
      <c r="C52" s="1" t="s">
        <v>126</v>
      </c>
      <c r="D52" s="1" t="s">
        <v>61</v>
      </c>
      <c r="E52" s="1" t="s">
        <v>62</v>
      </c>
      <c r="F52" s="1"/>
      <c r="G52" s="1" t="s">
        <v>13</v>
      </c>
      <c r="H52" s="1" t="s">
        <v>14</v>
      </c>
      <c r="I52" s="1">
        <f>IFERROR(VLOOKUP(D52,'[1]from mst_stock_group'!A:C,2,0),"")</f>
        <v>0</v>
      </c>
    </row>
    <row r="53" spans="1:9">
      <c r="A53" s="1" t="s">
        <v>127</v>
      </c>
      <c r="B53" s="1">
        <v>62770</v>
      </c>
      <c r="C53" s="1" t="s">
        <v>128</v>
      </c>
      <c r="D53" s="1" t="s">
        <v>61</v>
      </c>
      <c r="E53" s="1" t="s">
        <v>62</v>
      </c>
      <c r="F53" s="1"/>
      <c r="G53" s="1" t="s">
        <v>13</v>
      </c>
      <c r="H53" s="1" t="s">
        <v>14</v>
      </c>
      <c r="I53" s="1">
        <f>IFERROR(VLOOKUP(D53,'[1]from mst_stock_group'!A:C,2,0),"")</f>
        <v>0</v>
      </c>
    </row>
    <row r="54" spans="1:9">
      <c r="A54" s="1" t="s">
        <v>129</v>
      </c>
      <c r="B54" s="1">
        <v>62778</v>
      </c>
      <c r="C54" s="1" t="s">
        <v>130</v>
      </c>
      <c r="D54" s="1" t="s">
        <v>61</v>
      </c>
      <c r="E54" s="1" t="s">
        <v>62</v>
      </c>
      <c r="F54" s="1"/>
      <c r="G54" s="1" t="s">
        <v>13</v>
      </c>
      <c r="H54" s="1" t="s">
        <v>14</v>
      </c>
      <c r="I54" s="1">
        <f>IFERROR(VLOOKUP(D54,'[1]from mst_stock_group'!A:C,2,0),"")</f>
        <v>0</v>
      </c>
    </row>
    <row r="55" spans="1:9">
      <c r="A55" s="1" t="s">
        <v>131</v>
      </c>
      <c r="B55" s="1">
        <v>62769</v>
      </c>
      <c r="C55" s="1" t="s">
        <v>132</v>
      </c>
      <c r="D55" s="1" t="s">
        <v>61</v>
      </c>
      <c r="E55" s="1" t="s">
        <v>62</v>
      </c>
      <c r="F55" s="1"/>
      <c r="G55" s="1" t="s">
        <v>13</v>
      </c>
      <c r="H55" s="1" t="s">
        <v>14</v>
      </c>
      <c r="I55" s="1">
        <f>IFERROR(VLOOKUP(D55,'[1]from mst_stock_group'!A:C,2,0),"")</f>
        <v>0</v>
      </c>
    </row>
    <row r="56" spans="1:9">
      <c r="A56" s="1" t="s">
        <v>133</v>
      </c>
      <c r="B56" s="1">
        <v>62777</v>
      </c>
      <c r="C56" s="1" t="s">
        <v>134</v>
      </c>
      <c r="D56" s="1" t="s">
        <v>61</v>
      </c>
      <c r="E56" s="1" t="s">
        <v>62</v>
      </c>
      <c r="F56" s="1"/>
      <c r="G56" s="1" t="s">
        <v>13</v>
      </c>
      <c r="H56" s="1" t="s">
        <v>14</v>
      </c>
      <c r="I56" s="1">
        <f>IFERROR(VLOOKUP(D56,'[1]from mst_stock_group'!A:C,2,0),"")</f>
        <v>0</v>
      </c>
    </row>
    <row r="57" spans="1:9">
      <c r="A57" s="1" t="s">
        <v>135</v>
      </c>
      <c r="B57" s="1">
        <v>62763</v>
      </c>
      <c r="C57" s="1" t="s">
        <v>136</v>
      </c>
      <c r="D57" s="1" t="s">
        <v>61</v>
      </c>
      <c r="E57" s="1" t="s">
        <v>62</v>
      </c>
      <c r="F57" s="1"/>
      <c r="G57" s="1" t="s">
        <v>13</v>
      </c>
      <c r="H57" s="1" t="s">
        <v>14</v>
      </c>
      <c r="I57" s="1">
        <f>IFERROR(VLOOKUP(D57,'[1]from mst_stock_group'!A:C,2,0),"")</f>
        <v>0</v>
      </c>
    </row>
    <row r="58" spans="1:9">
      <c r="A58" s="1" t="s">
        <v>137</v>
      </c>
      <c r="B58" s="1">
        <v>64550</v>
      </c>
      <c r="C58" s="1" t="s">
        <v>138</v>
      </c>
      <c r="D58" s="1" t="s">
        <v>55</v>
      </c>
      <c r="E58" s="1" t="s">
        <v>56</v>
      </c>
      <c r="F58" s="1"/>
      <c r="G58" s="1" t="s">
        <v>57</v>
      </c>
      <c r="H58" s="1" t="s">
        <v>58</v>
      </c>
      <c r="I58" s="1" t="str">
        <f>IFERROR(VLOOKUP(D58,'[1]from mst_stock_group'!A:C,2,0),"")</f>
        <v>Packing Material Stock</v>
      </c>
    </row>
    <row r="59" spans="1:9">
      <c r="A59" s="1" t="s">
        <v>139</v>
      </c>
      <c r="B59" s="1">
        <v>64551</v>
      </c>
      <c r="C59" s="1" t="s">
        <v>140</v>
      </c>
      <c r="D59" s="1" t="s">
        <v>55</v>
      </c>
      <c r="E59" s="1" t="s">
        <v>56</v>
      </c>
      <c r="F59" s="1"/>
      <c r="G59" s="1" t="s">
        <v>57</v>
      </c>
      <c r="H59" s="1" t="s">
        <v>58</v>
      </c>
      <c r="I59" s="1" t="str">
        <f>IFERROR(VLOOKUP(D59,'[1]from mst_stock_group'!A:C,2,0),"")</f>
        <v>Packing Material Stock</v>
      </c>
    </row>
    <row r="60" spans="1:9">
      <c r="A60" s="1" t="s">
        <v>141</v>
      </c>
      <c r="B60" s="1">
        <v>62907</v>
      </c>
      <c r="C60" s="1" t="s">
        <v>142</v>
      </c>
      <c r="D60" s="1" t="s">
        <v>143</v>
      </c>
      <c r="E60" s="1" t="s">
        <v>144</v>
      </c>
      <c r="F60" s="1"/>
      <c r="G60" s="1" t="s">
        <v>57</v>
      </c>
      <c r="H60" s="1" t="s">
        <v>58</v>
      </c>
      <c r="I60" s="1" t="str">
        <f>IFERROR(VLOOKUP(D60,'[1]from mst_stock_group'!A:C,2,0),"")</f>
        <v>Finished Goods Stock</v>
      </c>
    </row>
    <row r="61" spans="1:9">
      <c r="A61" s="1" t="s">
        <v>145</v>
      </c>
      <c r="B61" s="1">
        <v>62744</v>
      </c>
      <c r="C61" s="1" t="s">
        <v>146</v>
      </c>
      <c r="D61" s="1" t="s">
        <v>143</v>
      </c>
      <c r="E61" s="1" t="s">
        <v>144</v>
      </c>
      <c r="F61" s="1"/>
      <c r="G61" s="1" t="s">
        <v>57</v>
      </c>
      <c r="H61" s="1" t="s">
        <v>58</v>
      </c>
      <c r="I61" s="1" t="str">
        <f>IFERROR(VLOOKUP(D61,'[1]from mst_stock_group'!A:C,2,0),"")</f>
        <v>Finished Goods Stock</v>
      </c>
    </row>
    <row r="62" spans="1:9">
      <c r="A62" s="1" t="s">
        <v>147</v>
      </c>
      <c r="B62" s="1">
        <v>62829</v>
      </c>
      <c r="C62" s="1" t="s">
        <v>148</v>
      </c>
      <c r="D62" s="1" t="s">
        <v>143</v>
      </c>
      <c r="E62" s="1" t="s">
        <v>144</v>
      </c>
      <c r="F62" s="1"/>
      <c r="G62" s="1" t="s">
        <v>57</v>
      </c>
      <c r="H62" s="1" t="s">
        <v>58</v>
      </c>
      <c r="I62" s="1" t="str">
        <f>IFERROR(VLOOKUP(D62,'[1]from mst_stock_group'!A:C,2,0),"")</f>
        <v>Finished Goods Stock</v>
      </c>
    </row>
    <row r="63" spans="1:9">
      <c r="A63" s="1" t="s">
        <v>149</v>
      </c>
      <c r="B63" s="1">
        <v>64801</v>
      </c>
      <c r="C63" s="1" t="s">
        <v>150</v>
      </c>
      <c r="D63" s="1" t="s">
        <v>151</v>
      </c>
      <c r="E63" s="1" t="s">
        <v>152</v>
      </c>
      <c r="F63" s="1"/>
      <c r="G63" s="1" t="s">
        <v>57</v>
      </c>
      <c r="H63" s="1" t="s">
        <v>58</v>
      </c>
      <c r="I63" s="1" t="str">
        <f>IFERROR(VLOOKUP(D63,'[1]from mst_stock_group'!A:C,2,0),"")</f>
        <v>Finished Goods Stock</v>
      </c>
    </row>
    <row r="64" spans="1:9">
      <c r="A64" s="1" t="s">
        <v>153</v>
      </c>
      <c r="B64" s="1">
        <v>62805</v>
      </c>
      <c r="C64" s="1" t="s">
        <v>154</v>
      </c>
      <c r="D64" s="1" t="s">
        <v>143</v>
      </c>
      <c r="E64" s="1" t="s">
        <v>144</v>
      </c>
      <c r="F64" s="1"/>
      <c r="G64" s="1" t="s">
        <v>57</v>
      </c>
      <c r="H64" s="1" t="s">
        <v>58</v>
      </c>
      <c r="I64" s="1" t="str">
        <f>IFERROR(VLOOKUP(D64,'[1]from mst_stock_group'!A:C,2,0),"")</f>
        <v>Finished Goods Stock</v>
      </c>
    </row>
    <row r="65" spans="1:9">
      <c r="A65" s="1" t="s">
        <v>155</v>
      </c>
      <c r="B65" s="1">
        <v>62743</v>
      </c>
      <c r="C65" s="1" t="s">
        <v>156</v>
      </c>
      <c r="D65" s="1" t="s">
        <v>143</v>
      </c>
      <c r="E65" s="1" t="s">
        <v>144</v>
      </c>
      <c r="F65" s="1"/>
      <c r="G65" s="1" t="s">
        <v>57</v>
      </c>
      <c r="H65" s="1" t="s">
        <v>58</v>
      </c>
      <c r="I65" s="1" t="str">
        <f>IFERROR(VLOOKUP(D65,'[1]from mst_stock_group'!A:C,2,0),"")</f>
        <v>Finished Goods Stock</v>
      </c>
    </row>
    <row r="66" spans="1:9">
      <c r="A66" s="1" t="s">
        <v>157</v>
      </c>
      <c r="B66" s="1">
        <v>62906</v>
      </c>
      <c r="C66" s="1" t="s">
        <v>158</v>
      </c>
      <c r="D66" s="1" t="s">
        <v>143</v>
      </c>
      <c r="E66" s="1" t="s">
        <v>144</v>
      </c>
      <c r="F66" s="1"/>
      <c r="G66" s="1" t="s">
        <v>57</v>
      </c>
      <c r="H66" s="1" t="s">
        <v>58</v>
      </c>
      <c r="I66" s="1" t="str">
        <f>IFERROR(VLOOKUP(D66,'[1]from mst_stock_group'!A:C,2,0),"")</f>
        <v>Finished Goods Stock</v>
      </c>
    </row>
    <row r="67" spans="1:9">
      <c r="A67" s="1" t="s">
        <v>159</v>
      </c>
      <c r="B67" s="1">
        <v>63563</v>
      </c>
      <c r="C67" s="1" t="s">
        <v>160</v>
      </c>
      <c r="D67" s="1" t="s">
        <v>151</v>
      </c>
      <c r="E67" s="1" t="s">
        <v>152</v>
      </c>
      <c r="F67" s="1"/>
      <c r="G67" s="1" t="s">
        <v>57</v>
      </c>
      <c r="H67" s="1" t="s">
        <v>58</v>
      </c>
      <c r="I67" s="1" t="str">
        <f>IFERROR(VLOOKUP(D67,'[1]from mst_stock_group'!A:C,2,0),"")</f>
        <v>Finished Goods Stock</v>
      </c>
    </row>
    <row r="68" spans="1:9">
      <c r="A68" s="1" t="s">
        <v>161</v>
      </c>
      <c r="B68" s="1">
        <v>62749</v>
      </c>
      <c r="C68" s="1" t="s">
        <v>162</v>
      </c>
      <c r="D68" s="1" t="s">
        <v>143</v>
      </c>
      <c r="E68" s="1" t="s">
        <v>144</v>
      </c>
      <c r="F68" s="1"/>
      <c r="G68" s="1" t="s">
        <v>57</v>
      </c>
      <c r="H68" s="1" t="s">
        <v>58</v>
      </c>
      <c r="I68" s="1" t="str">
        <f>IFERROR(VLOOKUP(D68,'[1]from mst_stock_group'!A:C,2,0),"")</f>
        <v>Finished Goods Stock</v>
      </c>
    </row>
    <row r="69" spans="1:9">
      <c r="A69" s="1" t="s">
        <v>163</v>
      </c>
      <c r="B69" s="1">
        <v>64701</v>
      </c>
      <c r="C69" s="1" t="s">
        <v>164</v>
      </c>
      <c r="D69" s="1" t="s">
        <v>151</v>
      </c>
      <c r="E69" s="1" t="s">
        <v>152</v>
      </c>
      <c r="F69" s="1"/>
      <c r="G69" s="1" t="s">
        <v>57</v>
      </c>
      <c r="H69" s="1" t="s">
        <v>58</v>
      </c>
      <c r="I69" s="1" t="str">
        <f>IFERROR(VLOOKUP(D69,'[1]from mst_stock_group'!A:C,2,0),"")</f>
        <v>Finished Goods Stock</v>
      </c>
    </row>
    <row r="70" spans="1:9">
      <c r="A70" s="1" t="s">
        <v>165</v>
      </c>
      <c r="B70" s="1">
        <v>62750</v>
      </c>
      <c r="C70" s="1" t="s">
        <v>166</v>
      </c>
      <c r="D70" s="1" t="s">
        <v>143</v>
      </c>
      <c r="E70" s="1" t="s">
        <v>144</v>
      </c>
      <c r="F70" s="1"/>
      <c r="G70" s="1" t="s">
        <v>57</v>
      </c>
      <c r="H70" s="1" t="s">
        <v>58</v>
      </c>
      <c r="I70" s="1" t="str">
        <f>IFERROR(VLOOKUP(D70,'[1]from mst_stock_group'!A:C,2,0),"")</f>
        <v>Finished Goods Stock</v>
      </c>
    </row>
    <row r="71" spans="1:9">
      <c r="A71" s="1" t="s">
        <v>167</v>
      </c>
      <c r="B71" s="1">
        <v>62803</v>
      </c>
      <c r="C71" s="1" t="s">
        <v>168</v>
      </c>
      <c r="D71" s="1" t="s">
        <v>143</v>
      </c>
      <c r="E71" s="1" t="s">
        <v>144</v>
      </c>
      <c r="F71" s="1"/>
      <c r="G71" s="1" t="s">
        <v>57</v>
      </c>
      <c r="H71" s="1" t="s">
        <v>58</v>
      </c>
      <c r="I71" s="1" t="str">
        <f>IFERROR(VLOOKUP(D71,'[1]from mst_stock_group'!A:C,2,0),"")</f>
        <v>Finished Goods Stock</v>
      </c>
    </row>
    <row r="72" spans="1:9">
      <c r="A72" s="1" t="s">
        <v>169</v>
      </c>
      <c r="B72" s="1">
        <v>62748</v>
      </c>
      <c r="C72" s="1" t="s">
        <v>170</v>
      </c>
      <c r="D72" s="1" t="s">
        <v>143</v>
      </c>
      <c r="E72" s="1" t="s">
        <v>144</v>
      </c>
      <c r="F72" s="1"/>
      <c r="G72" s="1" t="s">
        <v>57</v>
      </c>
      <c r="H72" s="1" t="s">
        <v>58</v>
      </c>
      <c r="I72" s="1" t="str">
        <f>IFERROR(VLOOKUP(D72,'[1]from mst_stock_group'!A:C,2,0),"")</f>
        <v>Finished Goods Stock</v>
      </c>
    </row>
    <row r="73" spans="1:9">
      <c r="A73" s="1" t="s">
        <v>171</v>
      </c>
      <c r="B73" s="1">
        <v>62833</v>
      </c>
      <c r="C73" s="1" t="s">
        <v>172</v>
      </c>
      <c r="D73" s="1" t="s">
        <v>143</v>
      </c>
      <c r="E73" s="1" t="s">
        <v>144</v>
      </c>
      <c r="F73" s="1"/>
      <c r="G73" s="1" t="s">
        <v>57</v>
      </c>
      <c r="H73" s="1" t="s">
        <v>58</v>
      </c>
      <c r="I73" s="1" t="str">
        <f>IFERROR(VLOOKUP(D73,'[1]from mst_stock_group'!A:C,2,0),"")</f>
        <v>Finished Goods Stock</v>
      </c>
    </row>
    <row r="74" spans="1:9">
      <c r="A74" s="1" t="s">
        <v>173</v>
      </c>
      <c r="B74" s="1">
        <v>64815</v>
      </c>
      <c r="C74" s="1" t="s">
        <v>174</v>
      </c>
      <c r="D74" s="1" t="s">
        <v>151</v>
      </c>
      <c r="E74" s="1" t="s">
        <v>152</v>
      </c>
      <c r="F74" s="1"/>
      <c r="G74" s="1" t="s">
        <v>57</v>
      </c>
      <c r="H74" s="1" t="s">
        <v>58</v>
      </c>
      <c r="I74" s="1" t="str">
        <f>IFERROR(VLOOKUP(D74,'[1]from mst_stock_group'!A:C,2,0),"")</f>
        <v>Finished Goods Stock</v>
      </c>
    </row>
    <row r="75" spans="1:9">
      <c r="A75" s="1" t="s">
        <v>175</v>
      </c>
      <c r="B75" s="1">
        <v>62745</v>
      </c>
      <c r="C75" s="1" t="s">
        <v>176</v>
      </c>
      <c r="D75" s="1" t="s">
        <v>143</v>
      </c>
      <c r="E75" s="1" t="s">
        <v>144</v>
      </c>
      <c r="F75" s="1"/>
      <c r="G75" s="1" t="s">
        <v>57</v>
      </c>
      <c r="H75" s="1" t="s">
        <v>58</v>
      </c>
      <c r="I75" s="1" t="str">
        <f>IFERROR(VLOOKUP(D75,'[1]from mst_stock_group'!A:C,2,0),"")</f>
        <v>Finished Goods Stock</v>
      </c>
    </row>
    <row r="76" spans="1:9">
      <c r="A76" s="1" t="s">
        <v>177</v>
      </c>
      <c r="B76" s="1">
        <v>64394</v>
      </c>
      <c r="C76" s="1" t="s">
        <v>178</v>
      </c>
      <c r="D76" s="1" t="s">
        <v>151</v>
      </c>
      <c r="E76" s="1" t="s">
        <v>152</v>
      </c>
      <c r="F76" s="1"/>
      <c r="G76" s="1" t="s">
        <v>57</v>
      </c>
      <c r="H76" s="1" t="s">
        <v>58</v>
      </c>
      <c r="I76" s="1" t="str">
        <f>IFERROR(VLOOKUP(D76,'[1]from mst_stock_group'!A:C,2,0),"")</f>
        <v>Finished Goods Stock</v>
      </c>
    </row>
    <row r="77" spans="1:9">
      <c r="A77" s="1" t="s">
        <v>179</v>
      </c>
      <c r="B77" s="1">
        <v>62806</v>
      </c>
      <c r="C77" s="1" t="s">
        <v>180</v>
      </c>
      <c r="D77" s="1" t="s">
        <v>143</v>
      </c>
      <c r="E77" s="1" t="s">
        <v>144</v>
      </c>
      <c r="F77" s="1"/>
      <c r="G77" s="1" t="s">
        <v>57</v>
      </c>
      <c r="H77" s="1" t="s">
        <v>58</v>
      </c>
      <c r="I77" s="1" t="str">
        <f>IFERROR(VLOOKUP(D77,'[1]from mst_stock_group'!A:C,2,0),"")</f>
        <v>Finished Goods Stock</v>
      </c>
    </row>
    <row r="78" spans="1:9">
      <c r="A78" s="1" t="s">
        <v>181</v>
      </c>
      <c r="B78" s="1">
        <v>64492</v>
      </c>
      <c r="C78" s="1" t="s">
        <v>182</v>
      </c>
      <c r="D78" s="1" t="s">
        <v>143</v>
      </c>
      <c r="E78" s="1" t="s">
        <v>144</v>
      </c>
      <c r="F78" s="1"/>
      <c r="G78" s="1" t="s">
        <v>183</v>
      </c>
      <c r="H78" s="1" t="s">
        <v>184</v>
      </c>
      <c r="I78" s="1" t="str">
        <f>IFERROR(VLOOKUP(D78,'[1]from mst_stock_group'!A:C,2,0),"")</f>
        <v>Finished Goods Stock</v>
      </c>
    </row>
    <row r="79" spans="1:9">
      <c r="A79" s="1" t="s">
        <v>185</v>
      </c>
      <c r="B79" s="1">
        <v>62935</v>
      </c>
      <c r="C79" s="1" t="s">
        <v>186</v>
      </c>
      <c r="D79" s="1" t="s">
        <v>187</v>
      </c>
      <c r="E79" s="1" t="s">
        <v>188</v>
      </c>
      <c r="F79" s="1"/>
      <c r="G79" s="1" t="s">
        <v>13</v>
      </c>
      <c r="H79" s="1" t="s">
        <v>14</v>
      </c>
      <c r="I79" s="1" t="str">
        <f>IFERROR(VLOOKUP(D79,'[1]from mst_stock_group'!A:C,2,0),"")</f>
        <v>Store &amp; Spares</v>
      </c>
    </row>
    <row r="80" spans="1:9">
      <c r="A80" s="1" t="s">
        <v>189</v>
      </c>
      <c r="B80" s="1">
        <v>62963</v>
      </c>
      <c r="C80" s="1" t="s">
        <v>190</v>
      </c>
      <c r="D80" s="1" t="s">
        <v>191</v>
      </c>
      <c r="E80" s="1" t="s">
        <v>192</v>
      </c>
      <c r="F80" s="1"/>
      <c r="G80" s="1" t="s">
        <v>13</v>
      </c>
      <c r="H80" s="1" t="s">
        <v>14</v>
      </c>
      <c r="I80" s="1">
        <f>IFERROR(VLOOKUP(D80,'[1]from mst_stock_group'!A:C,2,0),"")</f>
        <v>0</v>
      </c>
    </row>
    <row r="81" spans="1:9">
      <c r="A81" s="1" t="s">
        <v>193</v>
      </c>
      <c r="B81" s="1">
        <v>62823</v>
      </c>
      <c r="C81" s="1" t="s">
        <v>194</v>
      </c>
      <c r="D81" s="1" t="s">
        <v>67</v>
      </c>
      <c r="E81" s="1" t="s">
        <v>68</v>
      </c>
      <c r="F81" s="1"/>
      <c r="G81" s="1" t="s">
        <v>13</v>
      </c>
      <c r="H81" s="1" t="s">
        <v>14</v>
      </c>
      <c r="I81" s="1">
        <f>IFERROR(VLOOKUP(D81,'[1]from mst_stock_group'!A:C,2,0),"")</f>
        <v>0</v>
      </c>
    </row>
    <row r="82" spans="1:9">
      <c r="A82" s="1" t="s">
        <v>195</v>
      </c>
      <c r="B82" s="1">
        <v>62925</v>
      </c>
      <c r="C82" s="1" t="s">
        <v>196</v>
      </c>
      <c r="D82" s="1" t="s">
        <v>187</v>
      </c>
      <c r="E82" s="1" t="s">
        <v>188</v>
      </c>
      <c r="F82" s="1"/>
      <c r="G82" s="1" t="s">
        <v>13</v>
      </c>
      <c r="H82" s="1" t="s">
        <v>14</v>
      </c>
      <c r="I82" s="1" t="str">
        <f>IFERROR(VLOOKUP(D82,'[1]from mst_stock_group'!A:C,2,0),"")</f>
        <v>Store &amp; Spares</v>
      </c>
    </row>
    <row r="83" spans="1:9">
      <c r="A83" s="1" t="s">
        <v>197</v>
      </c>
      <c r="B83" s="1">
        <v>62922</v>
      </c>
      <c r="C83" s="1" t="s">
        <v>198</v>
      </c>
      <c r="D83" s="1" t="s">
        <v>199</v>
      </c>
      <c r="E83" s="1" t="s">
        <v>200</v>
      </c>
      <c r="F83" s="1"/>
      <c r="G83" s="1" t="s">
        <v>183</v>
      </c>
      <c r="H83" s="1" t="s">
        <v>184</v>
      </c>
      <c r="I83" s="1" t="str">
        <f>IFERROR(VLOOKUP(D83,'[1]from mst_stock_group'!A:C,2,0),"")</f>
        <v>Store &amp; Spares</v>
      </c>
    </row>
    <row r="84" spans="1:9">
      <c r="A84" s="1" t="s">
        <v>201</v>
      </c>
      <c r="B84" s="1">
        <v>62949</v>
      </c>
      <c r="C84" s="1" t="s">
        <v>202</v>
      </c>
      <c r="D84" s="1" t="s">
        <v>61</v>
      </c>
      <c r="E84" s="1" t="s">
        <v>62</v>
      </c>
      <c r="F84" s="1"/>
      <c r="G84" s="1" t="s">
        <v>57</v>
      </c>
      <c r="H84" s="1" t="s">
        <v>58</v>
      </c>
      <c r="I84" s="1">
        <f>IFERROR(VLOOKUP(D84,'[1]from mst_stock_group'!A:C,2,0),"")</f>
        <v>0</v>
      </c>
    </row>
    <row r="85" spans="1:9">
      <c r="A85" s="1" t="s">
        <v>203</v>
      </c>
      <c r="B85" s="1">
        <v>62952</v>
      </c>
      <c r="C85" s="1" t="s">
        <v>204</v>
      </c>
      <c r="D85" s="1" t="s">
        <v>205</v>
      </c>
      <c r="E85" s="1" t="s">
        <v>206</v>
      </c>
      <c r="F85" s="1"/>
      <c r="G85" s="1" t="s">
        <v>57</v>
      </c>
      <c r="H85" s="1" t="s">
        <v>58</v>
      </c>
      <c r="I85" s="1">
        <f>IFERROR(VLOOKUP(D85,'[1]from mst_stock_group'!A:C,2,0),"")</f>
        <v>0</v>
      </c>
    </row>
    <row r="86" spans="1:9">
      <c r="A86" s="1" t="s">
        <v>207</v>
      </c>
      <c r="B86" s="1">
        <v>64559</v>
      </c>
      <c r="C86" s="1" t="s">
        <v>208</v>
      </c>
      <c r="D86" s="1" t="s">
        <v>61</v>
      </c>
      <c r="E86" s="1" t="s">
        <v>62</v>
      </c>
      <c r="F86" s="1"/>
      <c r="G86" s="1" t="s">
        <v>13</v>
      </c>
      <c r="H86" s="1" t="s">
        <v>14</v>
      </c>
      <c r="I86" s="1">
        <f>IFERROR(VLOOKUP(D86,'[1]from mst_stock_group'!A:C,2,0),"")</f>
        <v>0</v>
      </c>
    </row>
    <row r="87" spans="1:9">
      <c r="A87" s="1" t="s">
        <v>209</v>
      </c>
      <c r="B87" s="1">
        <v>64560</v>
      </c>
      <c r="C87" s="1" t="s">
        <v>210</v>
      </c>
      <c r="D87" s="1" t="s">
        <v>61</v>
      </c>
      <c r="E87" s="1" t="s">
        <v>62</v>
      </c>
      <c r="F87" s="1"/>
      <c r="G87" s="1" t="s">
        <v>13</v>
      </c>
      <c r="H87" s="1" t="s">
        <v>14</v>
      </c>
      <c r="I87" s="1">
        <f>IFERROR(VLOOKUP(D87,'[1]from mst_stock_group'!A:C,2,0),"")</f>
        <v>0</v>
      </c>
    </row>
    <row r="88" spans="1:9">
      <c r="A88" s="1" t="s">
        <v>211</v>
      </c>
      <c r="B88" s="1">
        <v>64561</v>
      </c>
      <c r="C88" s="1" t="s">
        <v>212</v>
      </c>
      <c r="D88" s="1" t="s">
        <v>61</v>
      </c>
      <c r="E88" s="1" t="s">
        <v>62</v>
      </c>
      <c r="F88" s="1"/>
      <c r="G88" s="1" t="s">
        <v>13</v>
      </c>
      <c r="H88" s="1" t="s">
        <v>14</v>
      </c>
      <c r="I88" s="1">
        <f>IFERROR(VLOOKUP(D88,'[1]from mst_stock_group'!A:C,2,0),"")</f>
        <v>0</v>
      </c>
    </row>
    <row r="89" spans="1:9">
      <c r="A89" s="1" t="s">
        <v>213</v>
      </c>
      <c r="B89" s="1">
        <v>62712</v>
      </c>
      <c r="C89" s="1" t="s">
        <v>214</v>
      </c>
      <c r="D89" s="1" t="s">
        <v>205</v>
      </c>
      <c r="E89" s="1" t="s">
        <v>206</v>
      </c>
      <c r="F89" s="1"/>
      <c r="G89" s="1" t="s">
        <v>57</v>
      </c>
      <c r="H89" s="1" t="s">
        <v>58</v>
      </c>
      <c r="I89" s="1">
        <f>IFERROR(VLOOKUP(D89,'[1]from mst_stock_group'!A:C,2,0),"")</f>
        <v>0</v>
      </c>
    </row>
    <row r="90" spans="1:9">
      <c r="A90" s="1" t="s">
        <v>215</v>
      </c>
      <c r="B90" s="1">
        <v>62920</v>
      </c>
      <c r="C90" s="1" t="s">
        <v>216</v>
      </c>
      <c r="D90" s="1" t="s">
        <v>199</v>
      </c>
      <c r="E90" s="1" t="s">
        <v>200</v>
      </c>
      <c r="F90" s="1"/>
      <c r="G90" s="1" t="s">
        <v>183</v>
      </c>
      <c r="H90" s="1" t="s">
        <v>184</v>
      </c>
      <c r="I90" s="1" t="str">
        <f>IFERROR(VLOOKUP(D90,'[1]from mst_stock_group'!A:C,2,0),"")</f>
        <v>Store &amp; Spares</v>
      </c>
    </row>
    <row r="91" spans="1:9">
      <c r="A91" s="1" t="s">
        <v>217</v>
      </c>
      <c r="B91" s="1">
        <v>63160</v>
      </c>
      <c r="C91" s="1" t="s">
        <v>218</v>
      </c>
      <c r="D91" s="1" t="s">
        <v>191</v>
      </c>
      <c r="E91" s="1" t="s">
        <v>192</v>
      </c>
      <c r="F91" s="1"/>
      <c r="G91" s="1" t="s">
        <v>13</v>
      </c>
      <c r="H91" s="1" t="s">
        <v>14</v>
      </c>
      <c r="I91" s="1">
        <f>IFERROR(VLOOKUP(D91,'[1]from mst_stock_group'!A:C,2,0),"")</f>
        <v>0</v>
      </c>
    </row>
    <row r="92" spans="1:9">
      <c r="A92" s="1" t="s">
        <v>219</v>
      </c>
      <c r="B92" s="1">
        <v>62796</v>
      </c>
      <c r="C92" s="1" t="s">
        <v>220</v>
      </c>
      <c r="D92" s="1" t="s">
        <v>221</v>
      </c>
      <c r="E92" s="1" t="s">
        <v>222</v>
      </c>
      <c r="F92" s="1"/>
      <c r="G92" s="1" t="s">
        <v>183</v>
      </c>
      <c r="H92" s="1" t="s">
        <v>184</v>
      </c>
      <c r="I92" s="1">
        <f>IFERROR(VLOOKUP(D92,'[1]from mst_stock_group'!A:C,2,0),"")</f>
        <v>0</v>
      </c>
    </row>
    <row r="93" spans="1:9">
      <c r="A93" s="1" t="s">
        <v>223</v>
      </c>
      <c r="B93" s="1">
        <v>63987</v>
      </c>
      <c r="C93" s="1" t="s">
        <v>224</v>
      </c>
      <c r="D93" s="1"/>
      <c r="E93" s="1"/>
      <c r="F93" s="1"/>
      <c r="G93" s="1" t="s">
        <v>13</v>
      </c>
      <c r="H93" s="1" t="s">
        <v>14</v>
      </c>
      <c r="I93" s="1" t="str">
        <f>IFERROR(VLOOKUP(D93,'[1]from mst_stock_group'!A:C,2,0),"")</f>
        <v/>
      </c>
    </row>
    <row r="94" spans="1:9">
      <c r="A94" s="1" t="s">
        <v>225</v>
      </c>
      <c r="B94" s="1">
        <v>63992</v>
      </c>
      <c r="C94" s="1" t="s">
        <v>226</v>
      </c>
      <c r="D94" s="1" t="s">
        <v>199</v>
      </c>
      <c r="E94" s="1" t="s">
        <v>200</v>
      </c>
      <c r="F94" s="1"/>
      <c r="G94" s="1" t="s">
        <v>227</v>
      </c>
      <c r="H94" s="1" t="s">
        <v>228</v>
      </c>
      <c r="I94" s="1" t="str">
        <f>IFERROR(VLOOKUP(D94,'[1]from mst_stock_group'!A:C,2,0),"")</f>
        <v>Store &amp; Spares</v>
      </c>
    </row>
    <row r="95" spans="1:9">
      <c r="A95" s="1" t="s">
        <v>229</v>
      </c>
      <c r="B95" s="1">
        <v>62964</v>
      </c>
      <c r="C95" s="1" t="s">
        <v>230</v>
      </c>
      <c r="D95" s="1" t="s">
        <v>67</v>
      </c>
      <c r="E95" s="1" t="s">
        <v>68</v>
      </c>
      <c r="F95" s="1"/>
      <c r="G95" s="1" t="s">
        <v>57</v>
      </c>
      <c r="H95" s="1" t="s">
        <v>58</v>
      </c>
      <c r="I95" s="1">
        <f>IFERROR(VLOOKUP(D95,'[1]from mst_stock_group'!A:C,2,0),"")</f>
        <v>0</v>
      </c>
    </row>
    <row r="96" spans="1:9">
      <c r="A96" s="1" t="s">
        <v>231</v>
      </c>
      <c r="B96" s="1">
        <v>62941</v>
      </c>
      <c r="C96" s="1" t="s">
        <v>232</v>
      </c>
      <c r="D96" s="1" t="s">
        <v>191</v>
      </c>
      <c r="E96" s="1" t="s">
        <v>192</v>
      </c>
      <c r="F96" s="1"/>
      <c r="G96" s="1" t="s">
        <v>57</v>
      </c>
      <c r="H96" s="1" t="s">
        <v>58</v>
      </c>
      <c r="I96" s="1">
        <f>IFERROR(VLOOKUP(D96,'[1]from mst_stock_group'!A:C,2,0),"")</f>
        <v>0</v>
      </c>
    </row>
    <row r="97" spans="1:9">
      <c r="A97" s="1" t="s">
        <v>233</v>
      </c>
      <c r="B97" s="1">
        <v>62713</v>
      </c>
      <c r="C97" s="1" t="s">
        <v>73</v>
      </c>
      <c r="D97" s="1" t="s">
        <v>61</v>
      </c>
      <c r="E97" s="1" t="s">
        <v>62</v>
      </c>
      <c r="F97" s="1"/>
      <c r="G97" s="1" t="s">
        <v>13</v>
      </c>
      <c r="H97" s="1" t="s">
        <v>14</v>
      </c>
      <c r="I97" s="1">
        <f>IFERROR(VLOOKUP(D97,'[1]from mst_stock_group'!A:C,2,0),"")</f>
        <v>0</v>
      </c>
    </row>
    <row r="98" spans="1:9">
      <c r="A98" s="1" t="s">
        <v>234</v>
      </c>
      <c r="B98" s="1">
        <v>62923</v>
      </c>
      <c r="C98" s="1" t="s">
        <v>235</v>
      </c>
      <c r="D98" s="1" t="s">
        <v>199</v>
      </c>
      <c r="E98" s="1" t="s">
        <v>200</v>
      </c>
      <c r="F98" s="1"/>
      <c r="G98" s="1" t="s">
        <v>13</v>
      </c>
      <c r="H98" s="1" t="s">
        <v>14</v>
      </c>
      <c r="I98" s="1" t="str">
        <f>IFERROR(VLOOKUP(D98,'[1]from mst_stock_group'!A:C,2,0),"")</f>
        <v>Store &amp; Spares</v>
      </c>
    </row>
    <row r="99" spans="1:9">
      <c r="A99" s="1" t="s">
        <v>236</v>
      </c>
      <c r="B99" s="1">
        <v>64562</v>
      </c>
      <c r="C99" s="1" t="s">
        <v>237</v>
      </c>
      <c r="D99" s="1" t="s">
        <v>61</v>
      </c>
      <c r="E99" s="1" t="s">
        <v>62</v>
      </c>
      <c r="F99" s="1"/>
      <c r="G99" s="1" t="s">
        <v>183</v>
      </c>
      <c r="H99" s="1" t="s">
        <v>184</v>
      </c>
      <c r="I99" s="1">
        <f>IFERROR(VLOOKUP(D99,'[1]from mst_stock_group'!A:C,2,0),"")</f>
        <v>0</v>
      </c>
    </row>
    <row r="100" spans="1:9">
      <c r="A100" s="1" t="s">
        <v>238</v>
      </c>
      <c r="B100" s="1">
        <v>62961</v>
      </c>
      <c r="C100" s="1" t="s">
        <v>239</v>
      </c>
      <c r="D100" s="1" t="s">
        <v>67</v>
      </c>
      <c r="E100" s="1" t="s">
        <v>68</v>
      </c>
      <c r="F100" s="1"/>
      <c r="G100" s="1" t="s">
        <v>13</v>
      </c>
      <c r="H100" s="1" t="s">
        <v>14</v>
      </c>
      <c r="I100" s="1">
        <f>IFERROR(VLOOKUP(D100,'[1]from mst_stock_group'!A:C,2,0),"")</f>
        <v>0</v>
      </c>
    </row>
    <row r="101" spans="1:9">
      <c r="A101" s="1" t="s">
        <v>240</v>
      </c>
      <c r="B101" s="1">
        <v>62797</v>
      </c>
      <c r="C101" s="1" t="s">
        <v>241</v>
      </c>
      <c r="D101" s="1" t="s">
        <v>221</v>
      </c>
      <c r="E101" s="1" t="s">
        <v>222</v>
      </c>
      <c r="F101" s="1"/>
      <c r="G101" s="1" t="s">
        <v>242</v>
      </c>
      <c r="H101" s="1" t="s">
        <v>243</v>
      </c>
      <c r="I101" s="1">
        <f>IFERROR(VLOOKUP(D101,'[1]from mst_stock_group'!A:C,2,0),"")</f>
        <v>0</v>
      </c>
    </row>
    <row r="102" spans="1:9">
      <c r="A102" s="1" t="s">
        <v>244</v>
      </c>
      <c r="B102" s="1">
        <v>62830</v>
      </c>
      <c r="C102" s="1" t="s">
        <v>245</v>
      </c>
      <c r="D102" s="1" t="s">
        <v>246</v>
      </c>
      <c r="E102" s="1" t="s">
        <v>247</v>
      </c>
      <c r="F102" s="1"/>
      <c r="G102" s="1" t="s">
        <v>57</v>
      </c>
      <c r="H102" s="1" t="s">
        <v>58</v>
      </c>
      <c r="I102" s="1" t="str">
        <f>IFERROR(VLOOKUP(D102,'[1]from mst_stock_group'!A:C,2,0),"")</f>
        <v>Finished Goods Stock</v>
      </c>
    </row>
    <row r="103" spans="1:9">
      <c r="A103" s="1" t="s">
        <v>248</v>
      </c>
      <c r="B103" s="1">
        <v>64817</v>
      </c>
      <c r="C103" s="1" t="s">
        <v>249</v>
      </c>
      <c r="D103" s="1" t="s">
        <v>250</v>
      </c>
      <c r="E103" s="1" t="s">
        <v>251</v>
      </c>
      <c r="F103" s="1"/>
      <c r="G103" s="1" t="s">
        <v>57</v>
      </c>
      <c r="H103" s="1" t="s">
        <v>58</v>
      </c>
      <c r="I103" s="1" t="str">
        <f>IFERROR(VLOOKUP(D103,'[1]from mst_stock_group'!A:C,2,0),"")</f>
        <v>Finished Goods Stock</v>
      </c>
    </row>
    <row r="104" spans="1:9">
      <c r="A104" s="1" t="s">
        <v>252</v>
      </c>
      <c r="B104" s="1">
        <v>62799</v>
      </c>
      <c r="C104" s="1" t="s">
        <v>253</v>
      </c>
      <c r="D104" s="1" t="s">
        <v>250</v>
      </c>
      <c r="E104" s="1" t="s">
        <v>251</v>
      </c>
      <c r="F104" s="1"/>
      <c r="G104" s="1" t="s">
        <v>57</v>
      </c>
      <c r="H104" s="1" t="s">
        <v>58</v>
      </c>
      <c r="I104" s="1" t="str">
        <f>IFERROR(VLOOKUP(D104,'[1]from mst_stock_group'!A:C,2,0),"")</f>
        <v>Finished Goods Stock</v>
      </c>
    </row>
    <row r="105" spans="1:9">
      <c r="A105" s="1" t="s">
        <v>254</v>
      </c>
      <c r="B105" s="1">
        <v>62740</v>
      </c>
      <c r="C105" s="1" t="s">
        <v>255</v>
      </c>
      <c r="D105" s="1" t="s">
        <v>246</v>
      </c>
      <c r="E105" s="1" t="s">
        <v>247</v>
      </c>
      <c r="F105" s="1"/>
      <c r="G105" s="1" t="s">
        <v>57</v>
      </c>
      <c r="H105" s="1" t="s">
        <v>58</v>
      </c>
      <c r="I105" s="1" t="str">
        <f>IFERROR(VLOOKUP(D105,'[1]from mst_stock_group'!A:C,2,0),"")</f>
        <v>Finished Goods Stock</v>
      </c>
    </row>
    <row r="106" spans="1:9">
      <c r="A106" s="1" t="s">
        <v>256</v>
      </c>
      <c r="B106" s="1">
        <v>62898</v>
      </c>
      <c r="C106" s="1" t="s">
        <v>257</v>
      </c>
      <c r="D106" s="1" t="s">
        <v>246</v>
      </c>
      <c r="E106" s="1" t="s">
        <v>247</v>
      </c>
      <c r="F106" s="1"/>
      <c r="G106" s="1" t="s">
        <v>57</v>
      </c>
      <c r="H106" s="1" t="s">
        <v>58</v>
      </c>
      <c r="I106" s="1" t="str">
        <f>IFERROR(VLOOKUP(D106,'[1]from mst_stock_group'!A:C,2,0),"")</f>
        <v>Finished Goods Stock</v>
      </c>
    </row>
    <row r="107" spans="1:9">
      <c r="A107" s="1" t="s">
        <v>258</v>
      </c>
      <c r="B107" s="1">
        <v>64718</v>
      </c>
      <c r="C107" s="1" t="s">
        <v>259</v>
      </c>
      <c r="D107" s="1" t="s">
        <v>250</v>
      </c>
      <c r="E107" s="1" t="s">
        <v>251</v>
      </c>
      <c r="F107" s="1"/>
      <c r="G107" s="1" t="s">
        <v>57</v>
      </c>
      <c r="H107" s="1" t="s">
        <v>58</v>
      </c>
      <c r="I107" s="1" t="str">
        <f>IFERROR(VLOOKUP(D107,'[1]from mst_stock_group'!A:C,2,0),"")</f>
        <v>Finished Goods Stock</v>
      </c>
    </row>
    <row r="108" spans="1:9">
      <c r="A108" s="1" t="s">
        <v>260</v>
      </c>
      <c r="B108" s="1">
        <v>62837</v>
      </c>
      <c r="C108" s="1" t="s">
        <v>261</v>
      </c>
      <c r="D108" s="1" t="s">
        <v>246</v>
      </c>
      <c r="E108" s="1" t="s">
        <v>247</v>
      </c>
      <c r="F108" s="1"/>
      <c r="G108" s="1" t="s">
        <v>57</v>
      </c>
      <c r="H108" s="1" t="s">
        <v>58</v>
      </c>
      <c r="I108" s="1" t="str">
        <f>IFERROR(VLOOKUP(D108,'[1]from mst_stock_group'!A:C,2,0),"")</f>
        <v>Finished Goods Stock</v>
      </c>
    </row>
    <row r="109" spans="1:9">
      <c r="A109" s="1" t="s">
        <v>262</v>
      </c>
      <c r="B109" s="1">
        <v>62756</v>
      </c>
      <c r="C109" s="1" t="s">
        <v>263</v>
      </c>
      <c r="D109" s="1" t="s">
        <v>246</v>
      </c>
      <c r="E109" s="1" t="s">
        <v>247</v>
      </c>
      <c r="F109" s="1"/>
      <c r="G109" s="1" t="s">
        <v>57</v>
      </c>
      <c r="H109" s="1" t="s">
        <v>58</v>
      </c>
      <c r="I109" s="1" t="str">
        <f>IFERROR(VLOOKUP(D109,'[1]from mst_stock_group'!A:C,2,0),"")</f>
        <v>Finished Goods Stock</v>
      </c>
    </row>
    <row r="110" spans="1:9">
      <c r="A110" s="1" t="s">
        <v>264</v>
      </c>
      <c r="B110" s="1">
        <v>62820</v>
      </c>
      <c r="C110" s="1" t="s">
        <v>265</v>
      </c>
      <c r="D110" s="1" t="s">
        <v>250</v>
      </c>
      <c r="E110" s="1" t="s">
        <v>251</v>
      </c>
      <c r="F110" s="1"/>
      <c r="G110" s="1" t="s">
        <v>57</v>
      </c>
      <c r="H110" s="1" t="s">
        <v>58</v>
      </c>
      <c r="I110" s="1" t="str">
        <f>IFERROR(VLOOKUP(D110,'[1]from mst_stock_group'!A:C,2,0),"")</f>
        <v>Finished Goods Stock</v>
      </c>
    </row>
    <row r="111" spans="1:9">
      <c r="A111" s="1" t="s">
        <v>266</v>
      </c>
      <c r="B111" s="1">
        <v>62739</v>
      </c>
      <c r="C111" s="1" t="s">
        <v>267</v>
      </c>
      <c r="D111" s="1" t="s">
        <v>246</v>
      </c>
      <c r="E111" s="1" t="s">
        <v>247</v>
      </c>
      <c r="F111" s="1"/>
      <c r="G111" s="1" t="s">
        <v>57</v>
      </c>
      <c r="H111" s="1" t="s">
        <v>58</v>
      </c>
      <c r="I111" s="1" t="str">
        <f>IFERROR(VLOOKUP(D111,'[1]from mst_stock_group'!A:C,2,0),"")</f>
        <v>Finished Goods Stock</v>
      </c>
    </row>
    <row r="112" spans="1:9">
      <c r="A112" s="1" t="s">
        <v>268</v>
      </c>
      <c r="B112" s="1">
        <v>62760</v>
      </c>
      <c r="C112" s="1" t="s">
        <v>269</v>
      </c>
      <c r="D112" s="1" t="s">
        <v>246</v>
      </c>
      <c r="E112" s="1" t="s">
        <v>247</v>
      </c>
      <c r="F112" s="1"/>
      <c r="G112" s="1" t="s">
        <v>57</v>
      </c>
      <c r="H112" s="1" t="s">
        <v>58</v>
      </c>
      <c r="I112" s="1" t="str">
        <f>IFERROR(VLOOKUP(D112,'[1]from mst_stock_group'!A:C,2,0),"")</f>
        <v>Finished Goods Stock</v>
      </c>
    </row>
    <row r="113" spans="1:9">
      <c r="A113" s="1" t="s">
        <v>270</v>
      </c>
      <c r="B113" s="1">
        <v>62818</v>
      </c>
      <c r="C113" s="1" t="s">
        <v>271</v>
      </c>
      <c r="D113" s="1" t="s">
        <v>246</v>
      </c>
      <c r="E113" s="1" t="s">
        <v>247</v>
      </c>
      <c r="F113" s="1"/>
      <c r="G113" s="1" t="s">
        <v>57</v>
      </c>
      <c r="H113" s="1" t="s">
        <v>58</v>
      </c>
      <c r="I113" s="1" t="str">
        <f>IFERROR(VLOOKUP(D113,'[1]from mst_stock_group'!A:C,2,0),"")</f>
        <v>Finished Goods Stock</v>
      </c>
    </row>
    <row r="114" spans="1:9">
      <c r="A114" s="1" t="s">
        <v>272</v>
      </c>
      <c r="B114" s="1">
        <v>62807</v>
      </c>
      <c r="C114" s="1" t="s">
        <v>273</v>
      </c>
      <c r="D114" s="1" t="s">
        <v>250</v>
      </c>
      <c r="E114" s="1" t="s">
        <v>251</v>
      </c>
      <c r="F114" s="1"/>
      <c r="G114" s="1" t="s">
        <v>57</v>
      </c>
      <c r="H114" s="1" t="s">
        <v>58</v>
      </c>
      <c r="I114" s="1" t="str">
        <f>IFERROR(VLOOKUP(D114,'[1]from mst_stock_group'!A:C,2,0),"")</f>
        <v>Finished Goods Stock</v>
      </c>
    </row>
    <row r="115" spans="1:9">
      <c r="A115" s="1" t="s">
        <v>274</v>
      </c>
      <c r="B115" s="1">
        <v>62738</v>
      </c>
      <c r="C115" s="1" t="s">
        <v>275</v>
      </c>
      <c r="D115" s="1" t="s">
        <v>246</v>
      </c>
      <c r="E115" s="1" t="s">
        <v>247</v>
      </c>
      <c r="F115" s="1"/>
      <c r="G115" s="1" t="s">
        <v>57</v>
      </c>
      <c r="H115" s="1" t="s">
        <v>58</v>
      </c>
      <c r="I115" s="1" t="str">
        <f>IFERROR(VLOOKUP(D115,'[1]from mst_stock_group'!A:C,2,0),"")</f>
        <v>Finished Goods Stock</v>
      </c>
    </row>
    <row r="116" spans="1:9">
      <c r="A116" s="1" t="s">
        <v>276</v>
      </c>
      <c r="B116" s="1">
        <v>64813</v>
      </c>
      <c r="C116" s="1" t="s">
        <v>277</v>
      </c>
      <c r="D116" s="1" t="s">
        <v>250</v>
      </c>
      <c r="E116" s="1" t="s">
        <v>251</v>
      </c>
      <c r="F116" s="1"/>
      <c r="G116" s="1" t="s">
        <v>57</v>
      </c>
      <c r="H116" s="1" t="s">
        <v>58</v>
      </c>
      <c r="I116" s="1" t="str">
        <f>IFERROR(VLOOKUP(D116,'[1]from mst_stock_group'!A:C,2,0),"")</f>
        <v>Finished Goods Stock</v>
      </c>
    </row>
    <row r="117" spans="1:9">
      <c r="A117" s="1" t="s">
        <v>278</v>
      </c>
      <c r="B117" s="1">
        <v>62800</v>
      </c>
      <c r="C117" s="1" t="s">
        <v>279</v>
      </c>
      <c r="D117" s="1" t="s">
        <v>250</v>
      </c>
      <c r="E117" s="1" t="s">
        <v>251</v>
      </c>
      <c r="F117" s="1"/>
      <c r="G117" s="1" t="s">
        <v>57</v>
      </c>
      <c r="H117" s="1" t="s">
        <v>58</v>
      </c>
      <c r="I117" s="1" t="str">
        <f>IFERROR(VLOOKUP(D117,'[1]from mst_stock_group'!A:C,2,0),"")</f>
        <v>Finished Goods Stock</v>
      </c>
    </row>
    <row r="118" spans="1:9">
      <c r="A118" s="1" t="s">
        <v>280</v>
      </c>
      <c r="B118" s="1">
        <v>62768</v>
      </c>
      <c r="C118" s="1" t="s">
        <v>281</v>
      </c>
      <c r="D118" s="1" t="s">
        <v>246</v>
      </c>
      <c r="E118" s="1" t="s">
        <v>247</v>
      </c>
      <c r="F118" s="1"/>
      <c r="G118" s="1" t="s">
        <v>57</v>
      </c>
      <c r="H118" s="1" t="s">
        <v>58</v>
      </c>
      <c r="I118" s="1" t="str">
        <f>IFERROR(VLOOKUP(D118,'[1]from mst_stock_group'!A:C,2,0),"")</f>
        <v>Finished Goods Stock</v>
      </c>
    </row>
    <row r="119" spans="1:9">
      <c r="A119" s="1" t="s">
        <v>282</v>
      </c>
      <c r="B119" s="1">
        <v>64796</v>
      </c>
      <c r="C119" s="1" t="s">
        <v>283</v>
      </c>
      <c r="D119" s="1" t="s">
        <v>250</v>
      </c>
      <c r="E119" s="1" t="s">
        <v>251</v>
      </c>
      <c r="F119" s="1"/>
      <c r="G119" s="1" t="s">
        <v>57</v>
      </c>
      <c r="H119" s="1" t="s">
        <v>58</v>
      </c>
      <c r="I119" s="1" t="str">
        <f>IFERROR(VLOOKUP(D119,'[1]from mst_stock_group'!A:C,2,0),"")</f>
        <v>Finished Goods Stock</v>
      </c>
    </row>
    <row r="120" spans="1:9">
      <c r="A120" s="1" t="s">
        <v>284</v>
      </c>
      <c r="B120" s="1">
        <v>62917</v>
      </c>
      <c r="C120" s="1" t="s">
        <v>285</v>
      </c>
      <c r="D120" s="1" t="s">
        <v>246</v>
      </c>
      <c r="E120" s="1" t="s">
        <v>247</v>
      </c>
      <c r="F120" s="1"/>
      <c r="G120" s="1" t="s">
        <v>57</v>
      </c>
      <c r="H120" s="1" t="s">
        <v>58</v>
      </c>
      <c r="I120" s="1" t="str">
        <f>IFERROR(VLOOKUP(D120,'[1]from mst_stock_group'!A:C,2,0),"")</f>
        <v>Finished Goods Stock</v>
      </c>
    </row>
    <row r="121" spans="1:9">
      <c r="A121" s="1" t="s">
        <v>286</v>
      </c>
      <c r="B121" s="1">
        <v>62742</v>
      </c>
      <c r="C121" s="1" t="s">
        <v>287</v>
      </c>
      <c r="D121" s="1" t="s">
        <v>246</v>
      </c>
      <c r="E121" s="1" t="s">
        <v>247</v>
      </c>
      <c r="F121" s="1"/>
      <c r="G121" s="1" t="s">
        <v>57</v>
      </c>
      <c r="H121" s="1" t="s">
        <v>58</v>
      </c>
      <c r="I121" s="1" t="str">
        <f>IFERROR(VLOOKUP(D121,'[1]from mst_stock_group'!A:C,2,0),"")</f>
        <v>Finished Goods Stock</v>
      </c>
    </row>
    <row r="122" spans="1:9">
      <c r="A122" s="1" t="s">
        <v>288</v>
      </c>
      <c r="B122" s="1">
        <v>62741</v>
      </c>
      <c r="C122" s="1" t="s">
        <v>289</v>
      </c>
      <c r="D122" s="1" t="s">
        <v>246</v>
      </c>
      <c r="E122" s="1" t="s">
        <v>247</v>
      </c>
      <c r="F122" s="1"/>
      <c r="G122" s="1" t="s">
        <v>57</v>
      </c>
      <c r="H122" s="1" t="s">
        <v>58</v>
      </c>
      <c r="I122" s="1" t="str">
        <f>IFERROR(VLOOKUP(D122,'[1]from mst_stock_group'!A:C,2,0),"")</f>
        <v>Finished Goods Stock</v>
      </c>
    </row>
    <row r="123" spans="1:9">
      <c r="A123" s="1" t="s">
        <v>290</v>
      </c>
      <c r="B123" s="1">
        <v>62819</v>
      </c>
      <c r="C123" s="1" t="s">
        <v>291</v>
      </c>
      <c r="D123" s="1" t="s">
        <v>246</v>
      </c>
      <c r="E123" s="1" t="s">
        <v>247</v>
      </c>
      <c r="F123" s="1"/>
      <c r="G123" s="1" t="s">
        <v>57</v>
      </c>
      <c r="H123" s="1" t="s">
        <v>58</v>
      </c>
      <c r="I123" s="1" t="str">
        <f>IFERROR(VLOOKUP(D123,'[1]from mst_stock_group'!A:C,2,0),"")</f>
        <v>Finished Goods Stock</v>
      </c>
    </row>
    <row r="124" spans="1:9">
      <c r="A124" s="1" t="s">
        <v>292</v>
      </c>
      <c r="B124" s="1">
        <v>62836</v>
      </c>
      <c r="C124" s="1" t="s">
        <v>293</v>
      </c>
      <c r="D124" s="1" t="s">
        <v>246</v>
      </c>
      <c r="E124" s="1" t="s">
        <v>247</v>
      </c>
      <c r="F124" s="1"/>
      <c r="G124" s="1" t="s">
        <v>57</v>
      </c>
      <c r="H124" s="1" t="s">
        <v>58</v>
      </c>
      <c r="I124" s="1" t="str">
        <f>IFERROR(VLOOKUP(D124,'[1]from mst_stock_group'!A:C,2,0),"")</f>
        <v>Finished Goods Stock</v>
      </c>
    </row>
    <row r="125" spans="1:9">
      <c r="A125" s="1" t="s">
        <v>294</v>
      </c>
      <c r="B125" s="1">
        <v>62801</v>
      </c>
      <c r="C125" s="1" t="s">
        <v>295</v>
      </c>
      <c r="D125" s="1" t="s">
        <v>250</v>
      </c>
      <c r="E125" s="1" t="s">
        <v>251</v>
      </c>
      <c r="F125" s="1"/>
      <c r="G125" s="1" t="s">
        <v>57</v>
      </c>
      <c r="H125" s="1" t="s">
        <v>58</v>
      </c>
      <c r="I125" s="1" t="str">
        <f>IFERROR(VLOOKUP(D125,'[1]from mst_stock_group'!A:C,2,0),"")</f>
        <v>Finished Goods Stock</v>
      </c>
    </row>
    <row r="126" spans="1:9">
      <c r="A126" s="1" t="s">
        <v>296</v>
      </c>
      <c r="B126" s="1">
        <v>64490</v>
      </c>
      <c r="C126" s="1" t="s">
        <v>297</v>
      </c>
      <c r="D126" s="1" t="s">
        <v>298</v>
      </c>
      <c r="E126" s="1" t="s">
        <v>299</v>
      </c>
      <c r="F126" s="1"/>
      <c r="G126" s="1" t="s">
        <v>183</v>
      </c>
      <c r="H126" s="1" t="s">
        <v>184</v>
      </c>
      <c r="I126" s="1">
        <f>IFERROR(VLOOKUP(D126,'[1]from mst_stock_group'!A:C,2,0),"")</f>
        <v>0</v>
      </c>
    </row>
    <row r="127" spans="1:9">
      <c r="A127" s="1" t="s">
        <v>300</v>
      </c>
      <c r="B127" s="1">
        <v>62758</v>
      </c>
      <c r="C127" s="1" t="s">
        <v>301</v>
      </c>
      <c r="D127" s="1" t="s">
        <v>302</v>
      </c>
      <c r="E127" s="1" t="s">
        <v>303</v>
      </c>
      <c r="F127" s="1"/>
      <c r="G127" s="1" t="s">
        <v>57</v>
      </c>
      <c r="H127" s="1" t="s">
        <v>58</v>
      </c>
      <c r="I127" s="1" t="str">
        <f>IFERROR(VLOOKUP(D127,'[1]from mst_stock_group'!A:C,2,0),"")</f>
        <v>Finished Goods Stock</v>
      </c>
    </row>
    <row r="128" spans="1:9">
      <c r="A128" s="1" t="s">
        <v>304</v>
      </c>
      <c r="B128" s="1">
        <v>62835</v>
      </c>
      <c r="C128" s="1" t="s">
        <v>305</v>
      </c>
      <c r="D128" s="1" t="s">
        <v>302</v>
      </c>
      <c r="E128" s="1" t="s">
        <v>303</v>
      </c>
      <c r="F128" s="1"/>
      <c r="G128" s="1" t="s">
        <v>57</v>
      </c>
      <c r="H128" s="1" t="s">
        <v>58</v>
      </c>
      <c r="I128" s="1" t="str">
        <f>IFERROR(VLOOKUP(D128,'[1]from mst_stock_group'!A:C,2,0),"")</f>
        <v>Finished Goods Stock</v>
      </c>
    </row>
    <row r="129" spans="1:9">
      <c r="A129" s="1" t="s">
        <v>306</v>
      </c>
      <c r="B129" s="1">
        <v>62757</v>
      </c>
      <c r="C129" s="1" t="s">
        <v>307</v>
      </c>
      <c r="D129" s="1" t="s">
        <v>302</v>
      </c>
      <c r="E129" s="1" t="s">
        <v>303</v>
      </c>
      <c r="F129" s="1"/>
      <c r="G129" s="1" t="s">
        <v>57</v>
      </c>
      <c r="H129" s="1" t="s">
        <v>58</v>
      </c>
      <c r="I129" s="1" t="str">
        <f>IFERROR(VLOOKUP(D129,'[1]from mst_stock_group'!A:C,2,0),"")</f>
        <v>Finished Goods Stock</v>
      </c>
    </row>
    <row r="130" spans="1:9">
      <c r="A130" s="1" t="s">
        <v>308</v>
      </c>
      <c r="B130" s="1">
        <v>62761</v>
      </c>
      <c r="C130" s="1" t="s">
        <v>309</v>
      </c>
      <c r="D130" s="1" t="s">
        <v>310</v>
      </c>
      <c r="E130" s="1" t="s">
        <v>311</v>
      </c>
      <c r="F130" s="1"/>
      <c r="G130" s="1" t="s">
        <v>57</v>
      </c>
      <c r="H130" s="1" t="s">
        <v>58</v>
      </c>
      <c r="I130" s="1" t="str">
        <f>IFERROR(VLOOKUP(D130,'[1]from mst_stock_group'!A:C,2,0),"")</f>
        <v>Finished Goods Stock</v>
      </c>
    </row>
    <row r="131" spans="1:9">
      <c r="A131" s="1" t="s">
        <v>312</v>
      </c>
      <c r="B131" s="1">
        <v>64472</v>
      </c>
      <c r="C131" s="1" t="s">
        <v>313</v>
      </c>
      <c r="D131" s="1" t="s">
        <v>298</v>
      </c>
      <c r="E131" s="1" t="s">
        <v>299</v>
      </c>
      <c r="F131" s="1"/>
      <c r="G131" s="1" t="s">
        <v>183</v>
      </c>
      <c r="H131" s="1" t="s">
        <v>184</v>
      </c>
      <c r="I131" s="1">
        <f>IFERROR(VLOOKUP(D131,'[1]from mst_stock_group'!A:C,2,0),"")</f>
        <v>0</v>
      </c>
    </row>
    <row r="132" spans="1:9">
      <c r="A132" s="1" t="s">
        <v>314</v>
      </c>
      <c r="B132" s="1">
        <v>62936</v>
      </c>
      <c r="C132" s="1" t="s">
        <v>315</v>
      </c>
      <c r="D132" s="1" t="s">
        <v>316</v>
      </c>
      <c r="E132" s="1" t="s">
        <v>317</v>
      </c>
      <c r="F132" s="1"/>
      <c r="G132" s="1" t="s">
        <v>13</v>
      </c>
      <c r="H132" s="1" t="s">
        <v>14</v>
      </c>
      <c r="I132" s="1" t="str">
        <f>IFERROR(VLOOKUP(D132,'[1]from mst_stock_group'!A:C,2,0),"")</f>
        <v>Store &amp; Spares</v>
      </c>
    </row>
    <row r="133" spans="1:9">
      <c r="A133" s="1" t="s">
        <v>318</v>
      </c>
      <c r="B133" s="1">
        <v>62937</v>
      </c>
      <c r="C133" s="1" t="s">
        <v>319</v>
      </c>
      <c r="D133" s="1" t="s">
        <v>316</v>
      </c>
      <c r="E133" s="1" t="s">
        <v>317</v>
      </c>
      <c r="F133" s="1"/>
      <c r="G133" s="1" t="s">
        <v>13</v>
      </c>
      <c r="H133" s="1" t="s">
        <v>14</v>
      </c>
      <c r="I133" s="1" t="str">
        <f>IFERROR(VLOOKUP(D133,'[1]from mst_stock_group'!A:C,2,0),"")</f>
        <v>Store &amp; Spares</v>
      </c>
    </row>
    <row r="134" spans="1:9">
      <c r="A134" s="1" t="s">
        <v>320</v>
      </c>
      <c r="B134" s="1">
        <v>62946</v>
      </c>
      <c r="C134" s="1" t="s">
        <v>321</v>
      </c>
      <c r="D134" s="1" t="s">
        <v>316</v>
      </c>
      <c r="E134" s="1" t="s">
        <v>317</v>
      </c>
      <c r="F134" s="1"/>
      <c r="G134" s="1" t="s">
        <v>13</v>
      </c>
      <c r="H134" s="1" t="s">
        <v>14</v>
      </c>
      <c r="I134" s="1" t="str">
        <f>IFERROR(VLOOKUP(D134,'[1]from mst_stock_group'!A:C,2,0),"")</f>
        <v>Store &amp; Spares</v>
      </c>
    </row>
    <row r="135" spans="1:9">
      <c r="A135" s="1" t="s">
        <v>322</v>
      </c>
      <c r="B135" s="1">
        <v>62747</v>
      </c>
      <c r="C135" s="1" t="s">
        <v>323</v>
      </c>
      <c r="D135" s="1" t="s">
        <v>143</v>
      </c>
      <c r="E135" s="1" t="s">
        <v>144</v>
      </c>
      <c r="F135" s="1"/>
      <c r="G135" s="1" t="s">
        <v>57</v>
      </c>
      <c r="H135" s="1" t="s">
        <v>58</v>
      </c>
      <c r="I135" s="1" t="str">
        <f>IFERROR(VLOOKUP(D135,'[1]from mst_stock_group'!A:C,2,0),"")</f>
        <v>Finished Goods Stock</v>
      </c>
    </row>
    <row r="136" spans="1:9">
      <c r="A136" s="1" t="s">
        <v>324</v>
      </c>
      <c r="B136" s="1">
        <v>62746</v>
      </c>
      <c r="C136" s="1" t="s">
        <v>325</v>
      </c>
      <c r="D136" s="1" t="s">
        <v>143</v>
      </c>
      <c r="E136" s="1" t="s">
        <v>144</v>
      </c>
      <c r="F136" s="1"/>
      <c r="G136" s="1" t="s">
        <v>57</v>
      </c>
      <c r="H136" s="1" t="s">
        <v>58</v>
      </c>
      <c r="I136" s="1" t="str">
        <f>IFERROR(VLOOKUP(D136,'[1]from mst_stock_group'!A:C,2,0),"")</f>
        <v>Finished Goods Stock</v>
      </c>
    </row>
    <row r="137" spans="1:9">
      <c r="A137" s="1" t="s">
        <v>326</v>
      </c>
      <c r="B137" s="1">
        <v>64494</v>
      </c>
      <c r="C137" s="1" t="s">
        <v>327</v>
      </c>
      <c r="D137" s="1" t="s">
        <v>143</v>
      </c>
      <c r="E137" s="1" t="s">
        <v>144</v>
      </c>
      <c r="F137" s="1"/>
      <c r="G137" s="1" t="s">
        <v>57</v>
      </c>
      <c r="H137" s="1" t="s">
        <v>58</v>
      </c>
      <c r="I137" s="1" t="str">
        <f>IFERROR(VLOOKUP(D137,'[1]from mst_stock_group'!A:C,2,0),"")</f>
        <v>Finished Goods Stock</v>
      </c>
    </row>
    <row r="138" spans="1:9">
      <c r="A138" s="1" t="s">
        <v>328</v>
      </c>
      <c r="B138" s="1">
        <v>62753</v>
      </c>
      <c r="C138" s="1" t="s">
        <v>329</v>
      </c>
      <c r="D138" s="1" t="s">
        <v>143</v>
      </c>
      <c r="E138" s="1" t="s">
        <v>144</v>
      </c>
      <c r="F138" s="1"/>
      <c r="G138" s="1" t="s">
        <v>57</v>
      </c>
      <c r="H138" s="1" t="s">
        <v>58</v>
      </c>
      <c r="I138" s="1" t="str">
        <f>IFERROR(VLOOKUP(D138,'[1]from mst_stock_group'!A:C,2,0),"")</f>
        <v>Finished Goods Stock</v>
      </c>
    </row>
    <row r="139" spans="1:9">
      <c r="A139" s="1" t="s">
        <v>330</v>
      </c>
      <c r="B139" s="1">
        <v>62808</v>
      </c>
      <c r="C139" s="1" t="s">
        <v>331</v>
      </c>
      <c r="D139" s="1" t="s">
        <v>143</v>
      </c>
      <c r="E139" s="1" t="s">
        <v>144</v>
      </c>
      <c r="F139" s="1"/>
      <c r="G139" s="1" t="s">
        <v>57</v>
      </c>
      <c r="H139" s="1" t="s">
        <v>58</v>
      </c>
      <c r="I139" s="1" t="str">
        <f>IFERROR(VLOOKUP(D139,'[1]from mst_stock_group'!A:C,2,0),"")</f>
        <v>Finished Goods Stock</v>
      </c>
    </row>
    <row r="140" spans="1:9">
      <c r="A140" s="1" t="s">
        <v>332</v>
      </c>
      <c r="B140" s="1">
        <v>62794</v>
      </c>
      <c r="C140" s="1" t="s">
        <v>333</v>
      </c>
      <c r="D140" s="1" t="s">
        <v>221</v>
      </c>
      <c r="E140" s="1" t="s">
        <v>222</v>
      </c>
      <c r="F140" s="1"/>
      <c r="G140" s="1" t="s">
        <v>334</v>
      </c>
      <c r="H140" s="1" t="s">
        <v>335</v>
      </c>
      <c r="I140" s="1">
        <f>IFERROR(VLOOKUP(D140,'[1]from mst_stock_group'!A:C,2,0),"")</f>
        <v>0</v>
      </c>
    </row>
    <row r="141" spans="1:9">
      <c r="A141" s="1" t="s">
        <v>336</v>
      </c>
      <c r="B141" s="1">
        <v>62824</v>
      </c>
      <c r="C141" s="1" t="s">
        <v>337</v>
      </c>
      <c r="D141" s="1" t="s">
        <v>67</v>
      </c>
      <c r="E141" s="1" t="s">
        <v>68</v>
      </c>
      <c r="F141" s="1"/>
      <c r="G141" s="1" t="s">
        <v>13</v>
      </c>
      <c r="H141" s="1" t="s">
        <v>14</v>
      </c>
      <c r="I141" s="1">
        <f>IFERROR(VLOOKUP(D141,'[1]from mst_stock_group'!A:C,2,0),"")</f>
        <v>0</v>
      </c>
    </row>
    <row r="142" spans="1:9">
      <c r="A142" s="1" t="s">
        <v>338</v>
      </c>
      <c r="B142" s="1">
        <v>62795</v>
      </c>
      <c r="C142" s="1" t="s">
        <v>339</v>
      </c>
      <c r="D142" s="1" t="s">
        <v>221</v>
      </c>
      <c r="E142" s="1" t="s">
        <v>222</v>
      </c>
      <c r="F142" s="1"/>
      <c r="G142" s="1" t="s">
        <v>334</v>
      </c>
      <c r="H142" s="1" t="s">
        <v>335</v>
      </c>
      <c r="I142" s="1">
        <f>IFERROR(VLOOKUP(D142,'[1]from mst_stock_group'!A:C,2,0),"")</f>
        <v>0</v>
      </c>
    </row>
    <row r="143" spans="1:9">
      <c r="A143" s="1" t="s">
        <v>340</v>
      </c>
      <c r="B143" s="1">
        <v>62915</v>
      </c>
      <c r="C143" s="1" t="s">
        <v>341</v>
      </c>
      <c r="D143" s="1" t="s">
        <v>342</v>
      </c>
      <c r="E143" s="1" t="s">
        <v>343</v>
      </c>
      <c r="F143" s="1"/>
      <c r="G143" s="1" t="s">
        <v>13</v>
      </c>
      <c r="H143" s="1" t="s">
        <v>14</v>
      </c>
      <c r="I143" s="1" t="str">
        <f>IFERROR(VLOOKUP(D143,'[1]from mst_stock_group'!A:C,2,0),"")</f>
        <v>Other Misc Purchase</v>
      </c>
    </row>
    <row r="144" spans="1:9">
      <c r="A144" s="1" t="s">
        <v>344</v>
      </c>
      <c r="B144" s="1">
        <v>62950</v>
      </c>
      <c r="C144" s="1" t="s">
        <v>345</v>
      </c>
      <c r="D144" s="1" t="s">
        <v>346</v>
      </c>
      <c r="E144" s="1" t="s">
        <v>347</v>
      </c>
      <c r="F144" s="1"/>
      <c r="G144" s="1" t="s">
        <v>57</v>
      </c>
      <c r="H144" s="1" t="s">
        <v>58</v>
      </c>
      <c r="I144" s="1" t="str">
        <f>IFERROR(VLOOKUP(D144,'[1]from mst_stock_group'!A:C,2,0),"")</f>
        <v>Store &amp; Spares</v>
      </c>
    </row>
    <row r="145" spans="1:9">
      <c r="A145" s="1" t="s">
        <v>348</v>
      </c>
      <c r="B145" s="1">
        <v>62928</v>
      </c>
      <c r="C145" s="1" t="s">
        <v>349</v>
      </c>
      <c r="D145" s="1" t="s">
        <v>187</v>
      </c>
      <c r="E145" s="1" t="s">
        <v>188</v>
      </c>
      <c r="F145" s="1"/>
      <c r="G145" s="1" t="s">
        <v>13</v>
      </c>
      <c r="H145" s="1" t="s">
        <v>14</v>
      </c>
      <c r="I145" s="1" t="str">
        <f>IFERROR(VLOOKUP(D145,'[1]from mst_stock_group'!A:C,2,0),"")</f>
        <v>Store &amp; Spares</v>
      </c>
    </row>
    <row r="146" spans="1:9">
      <c r="A146" s="1" t="s">
        <v>350</v>
      </c>
      <c r="B146" s="1">
        <v>62927</v>
      </c>
      <c r="C146" s="1" t="s">
        <v>351</v>
      </c>
      <c r="D146" s="1" t="s">
        <v>342</v>
      </c>
      <c r="E146" s="1" t="s">
        <v>343</v>
      </c>
      <c r="F146" s="1"/>
      <c r="G146" s="1" t="s">
        <v>242</v>
      </c>
      <c r="H146" s="1" t="s">
        <v>243</v>
      </c>
      <c r="I146" s="1" t="str">
        <f>IFERROR(VLOOKUP(D146,'[1]from mst_stock_group'!A:C,2,0),"")</f>
        <v>Other Misc Purchase</v>
      </c>
    </row>
    <row r="147" spans="1:9">
      <c r="A147" s="1" t="s">
        <v>352</v>
      </c>
      <c r="B147" s="1">
        <v>62781</v>
      </c>
      <c r="C147" s="1" t="s">
        <v>353</v>
      </c>
      <c r="D147" s="1" t="s">
        <v>61</v>
      </c>
      <c r="E147" s="1" t="s">
        <v>62</v>
      </c>
      <c r="F147" s="1"/>
      <c r="G147" s="1" t="s">
        <v>13</v>
      </c>
      <c r="H147" s="1" t="s">
        <v>14</v>
      </c>
      <c r="I147" s="1">
        <f>IFERROR(VLOOKUP(D147,'[1]from mst_stock_group'!A:C,2,0),"")</f>
        <v>0</v>
      </c>
    </row>
    <row r="148" spans="1:9">
      <c r="A148" s="1" t="s">
        <v>354</v>
      </c>
      <c r="B148" s="1">
        <v>62826</v>
      </c>
      <c r="C148" s="1" t="s">
        <v>355</v>
      </c>
      <c r="D148" s="1" t="s">
        <v>67</v>
      </c>
      <c r="E148" s="1" t="s">
        <v>68</v>
      </c>
      <c r="F148" s="1"/>
      <c r="G148" s="1" t="s">
        <v>13</v>
      </c>
      <c r="H148" s="1" t="s">
        <v>14</v>
      </c>
      <c r="I148" s="1">
        <f>IFERROR(VLOOKUP(D148,'[1]from mst_stock_group'!A:C,2,0),"")</f>
        <v>0</v>
      </c>
    </row>
    <row r="149" spans="1:9">
      <c r="A149" s="1" t="s">
        <v>356</v>
      </c>
      <c r="B149" s="1">
        <v>62822</v>
      </c>
      <c r="C149" s="1" t="s">
        <v>357</v>
      </c>
      <c r="D149" s="1" t="s">
        <v>191</v>
      </c>
      <c r="E149" s="1" t="s">
        <v>192</v>
      </c>
      <c r="F149" s="1"/>
      <c r="G149" s="1" t="s">
        <v>183</v>
      </c>
      <c r="H149" s="1" t="s">
        <v>184</v>
      </c>
      <c r="I149" s="1">
        <f>IFERROR(VLOOKUP(D149,'[1]from mst_stock_group'!A:C,2,0),"")</f>
        <v>0</v>
      </c>
    </row>
    <row r="150" spans="1:9">
      <c r="A150" s="1" t="s">
        <v>358</v>
      </c>
      <c r="B150" s="1">
        <v>62714</v>
      </c>
      <c r="C150" s="1" t="s">
        <v>359</v>
      </c>
      <c r="D150" s="1" t="s">
        <v>205</v>
      </c>
      <c r="E150" s="1" t="s">
        <v>206</v>
      </c>
      <c r="F150" s="1"/>
      <c r="G150" s="1" t="s">
        <v>57</v>
      </c>
      <c r="H150" s="1" t="s">
        <v>58</v>
      </c>
      <c r="I150" s="1">
        <f>IFERROR(VLOOKUP(D150,'[1]from mst_stock_group'!A:C,2,0),"")</f>
        <v>0</v>
      </c>
    </row>
    <row r="151" spans="1:9">
      <c r="A151" s="1" t="s">
        <v>360</v>
      </c>
      <c r="B151" s="1">
        <v>62966</v>
      </c>
      <c r="C151" s="1" t="s">
        <v>361</v>
      </c>
      <c r="D151" s="1" t="s">
        <v>205</v>
      </c>
      <c r="E151" s="1" t="s">
        <v>206</v>
      </c>
      <c r="F151" s="1"/>
      <c r="G151" s="1" t="s">
        <v>183</v>
      </c>
      <c r="H151" s="1" t="s">
        <v>184</v>
      </c>
      <c r="I151" s="1">
        <f>IFERROR(VLOOKUP(D151,'[1]from mst_stock_group'!A:C,2,0),"")</f>
        <v>0</v>
      </c>
    </row>
    <row r="152" spans="1:9">
      <c r="A152" s="1" t="s">
        <v>362</v>
      </c>
      <c r="B152" s="1">
        <v>62715</v>
      </c>
      <c r="C152" s="1" t="s">
        <v>363</v>
      </c>
      <c r="D152" s="1" t="s">
        <v>205</v>
      </c>
      <c r="E152" s="1" t="s">
        <v>206</v>
      </c>
      <c r="F152" s="1"/>
      <c r="G152" s="1" t="s">
        <v>57</v>
      </c>
      <c r="H152" s="1" t="s">
        <v>58</v>
      </c>
      <c r="I152" s="1">
        <f>IFERROR(VLOOKUP(D152,'[1]from mst_stock_group'!A:C,2,0),"")</f>
        <v>0</v>
      </c>
    </row>
    <row r="153" spans="1:9">
      <c r="A153" s="1" t="s">
        <v>364</v>
      </c>
      <c r="B153" s="1">
        <v>62793</v>
      </c>
      <c r="C153" s="1" t="s">
        <v>365</v>
      </c>
      <c r="D153" s="1" t="s">
        <v>221</v>
      </c>
      <c r="E153" s="1" t="s">
        <v>222</v>
      </c>
      <c r="F153" s="1"/>
      <c r="G153" s="1" t="s">
        <v>57</v>
      </c>
      <c r="H153" s="1" t="s">
        <v>58</v>
      </c>
      <c r="I153" s="1">
        <f>IFERROR(VLOOKUP(D153,'[1]from mst_stock_group'!A:C,2,0),"")</f>
        <v>0</v>
      </c>
    </row>
    <row r="154" spans="1:9">
      <c r="A154" s="1" t="s">
        <v>366</v>
      </c>
      <c r="B154" s="1">
        <v>62774</v>
      </c>
      <c r="C154" s="1" t="s">
        <v>367</v>
      </c>
      <c r="D154" s="1" t="s">
        <v>221</v>
      </c>
      <c r="E154" s="1" t="s">
        <v>222</v>
      </c>
      <c r="F154" s="1"/>
      <c r="G154" s="1" t="s">
        <v>368</v>
      </c>
      <c r="H154" s="1" t="s">
        <v>369</v>
      </c>
      <c r="I154" s="1">
        <f>IFERROR(VLOOKUP(D154,'[1]from mst_stock_group'!A:C,2,0),"")</f>
        <v>0</v>
      </c>
    </row>
    <row r="155" spans="1:9">
      <c r="A155" s="1" t="s">
        <v>370</v>
      </c>
      <c r="B155" s="1">
        <v>62775</v>
      </c>
      <c r="C155" s="1" t="s">
        <v>371</v>
      </c>
      <c r="D155" s="1" t="s">
        <v>221</v>
      </c>
      <c r="E155" s="1" t="s">
        <v>222</v>
      </c>
      <c r="F155" s="1"/>
      <c r="G155" s="1" t="s">
        <v>368</v>
      </c>
      <c r="H155" s="1" t="s">
        <v>369</v>
      </c>
      <c r="I155" s="1">
        <f>IFERROR(VLOOKUP(D155,'[1]from mst_stock_group'!A:C,2,0),"")</f>
        <v>0</v>
      </c>
    </row>
    <row r="156" spans="1:9">
      <c r="A156" s="1" t="s">
        <v>372</v>
      </c>
      <c r="B156" s="1">
        <v>62933</v>
      </c>
      <c r="C156" s="1" t="s">
        <v>373</v>
      </c>
      <c r="D156" s="1" t="s">
        <v>342</v>
      </c>
      <c r="E156" s="1" t="s">
        <v>343</v>
      </c>
      <c r="F156" s="1"/>
      <c r="G156" s="1" t="s">
        <v>13</v>
      </c>
      <c r="H156" s="1" t="s">
        <v>14</v>
      </c>
      <c r="I156" s="1" t="str">
        <f>IFERROR(VLOOKUP(D156,'[1]from mst_stock_group'!A:C,2,0),"")</f>
        <v>Other Misc Purchase</v>
      </c>
    </row>
    <row r="157" spans="1:9">
      <c r="A157" s="1" t="s">
        <v>374</v>
      </c>
      <c r="B157" s="1">
        <v>62957</v>
      </c>
      <c r="C157" s="1" t="s">
        <v>375</v>
      </c>
      <c r="D157" s="1" t="s">
        <v>191</v>
      </c>
      <c r="E157" s="1" t="s">
        <v>192</v>
      </c>
      <c r="F157" s="1"/>
      <c r="G157" s="1" t="s">
        <v>13</v>
      </c>
      <c r="H157" s="1" t="s">
        <v>14</v>
      </c>
      <c r="I157" s="1">
        <f>IFERROR(VLOOKUP(D157,'[1]from mst_stock_group'!A:C,2,0),"")</f>
        <v>0</v>
      </c>
    </row>
    <row r="158" spans="1:9">
      <c r="A158" s="1" t="s">
        <v>376</v>
      </c>
      <c r="B158" s="1">
        <v>62767</v>
      </c>
      <c r="C158" s="1" t="s">
        <v>377</v>
      </c>
      <c r="D158" s="1" t="s">
        <v>61</v>
      </c>
      <c r="E158" s="1" t="s">
        <v>62</v>
      </c>
      <c r="F158" s="1"/>
      <c r="G158" s="1" t="s">
        <v>13</v>
      </c>
      <c r="H158" s="1" t="s">
        <v>14</v>
      </c>
      <c r="I158" s="1">
        <f>IFERROR(VLOOKUP(D158,'[1]from mst_stock_group'!A:C,2,0),"")</f>
        <v>0</v>
      </c>
    </row>
    <row r="159" spans="1:9">
      <c r="A159" s="1" t="s">
        <v>378</v>
      </c>
      <c r="B159" s="1">
        <v>62771</v>
      </c>
      <c r="C159" s="1" t="s">
        <v>379</v>
      </c>
      <c r="D159" s="1" t="s">
        <v>61</v>
      </c>
      <c r="E159" s="1" t="s">
        <v>62</v>
      </c>
      <c r="F159" s="1"/>
      <c r="G159" s="1" t="s">
        <v>13</v>
      </c>
      <c r="H159" s="1" t="s">
        <v>14</v>
      </c>
      <c r="I159" s="1">
        <f>IFERROR(VLOOKUP(D159,'[1]from mst_stock_group'!A:C,2,0),"")</f>
        <v>0</v>
      </c>
    </row>
    <row r="160" spans="1:9">
      <c r="A160" s="1" t="s">
        <v>380</v>
      </c>
      <c r="B160" s="1">
        <v>62945</v>
      </c>
      <c r="C160" s="1" t="s">
        <v>381</v>
      </c>
      <c r="D160" s="1" t="s">
        <v>81</v>
      </c>
      <c r="E160" s="1" t="s">
        <v>82</v>
      </c>
      <c r="F160" s="1"/>
      <c r="G160" s="1" t="s">
        <v>13</v>
      </c>
      <c r="H160" s="1" t="s">
        <v>14</v>
      </c>
      <c r="I160" s="1" t="str">
        <f>IFERROR(VLOOKUP(D160,'[1]from mst_stock_group'!A:C,2,0),"")</f>
        <v>Packing Material Stock</v>
      </c>
    </row>
    <row r="161" spans="1:9">
      <c r="A161" s="1" t="s">
        <v>382</v>
      </c>
      <c r="B161" s="1">
        <v>62892</v>
      </c>
      <c r="C161" s="1" t="s">
        <v>383</v>
      </c>
      <c r="D161" s="1" t="s">
        <v>81</v>
      </c>
      <c r="E161" s="1" t="s">
        <v>82</v>
      </c>
      <c r="F161" s="1"/>
      <c r="G161" s="1" t="s">
        <v>13</v>
      </c>
      <c r="H161" s="1" t="s">
        <v>14</v>
      </c>
      <c r="I161" s="1" t="str">
        <f>IFERROR(VLOOKUP(D161,'[1]from mst_stock_group'!A:C,2,0),"")</f>
        <v>Packing Material Stock</v>
      </c>
    </row>
    <row r="162" spans="1:9">
      <c r="A162" s="1" t="s">
        <v>384</v>
      </c>
      <c r="B162" s="1">
        <v>64052</v>
      </c>
      <c r="C162" s="1" t="s">
        <v>385</v>
      </c>
      <c r="D162" s="1" t="s">
        <v>81</v>
      </c>
      <c r="E162" s="1" t="s">
        <v>82</v>
      </c>
      <c r="F162" s="1"/>
      <c r="G162" s="1" t="s">
        <v>13</v>
      </c>
      <c r="H162" s="1" t="s">
        <v>14</v>
      </c>
      <c r="I162" s="1" t="str">
        <f>IFERROR(VLOOKUP(D162,'[1]from mst_stock_group'!A:C,2,0),"")</f>
        <v>Packing Material Stock</v>
      </c>
    </row>
    <row r="163" spans="1:9">
      <c r="A163" s="1" t="s">
        <v>386</v>
      </c>
      <c r="B163" s="1">
        <v>62955</v>
      </c>
      <c r="C163" s="1" t="s">
        <v>387</v>
      </c>
      <c r="D163" s="1" t="s">
        <v>81</v>
      </c>
      <c r="E163" s="1" t="s">
        <v>82</v>
      </c>
      <c r="F163" s="1"/>
      <c r="G163" s="1" t="s">
        <v>13</v>
      </c>
      <c r="H163" s="1" t="s">
        <v>14</v>
      </c>
      <c r="I163" s="1" t="str">
        <f>IFERROR(VLOOKUP(D163,'[1]from mst_stock_group'!A:C,2,0),"")</f>
        <v>Packing Material Stock</v>
      </c>
    </row>
    <row r="164" spans="1:9">
      <c r="A164" s="1" t="s">
        <v>388</v>
      </c>
      <c r="B164" s="1">
        <v>62860</v>
      </c>
      <c r="C164" s="1" t="s">
        <v>389</v>
      </c>
      <c r="D164" s="1" t="s">
        <v>205</v>
      </c>
      <c r="E164" s="1" t="s">
        <v>206</v>
      </c>
      <c r="F164" s="1"/>
      <c r="G164" s="1" t="s">
        <v>57</v>
      </c>
      <c r="H164" s="1" t="s">
        <v>58</v>
      </c>
      <c r="I164" s="1">
        <f>IFERROR(VLOOKUP(D164,'[1]from mst_stock_group'!A:C,2,0),"")</f>
        <v>0</v>
      </c>
    </row>
    <row r="165" spans="1:9">
      <c r="A165" s="1" t="s">
        <v>390</v>
      </c>
      <c r="B165" s="1">
        <v>62909</v>
      </c>
      <c r="C165" s="1" t="s">
        <v>391</v>
      </c>
      <c r="D165" s="1" t="s">
        <v>67</v>
      </c>
      <c r="E165" s="1" t="s">
        <v>68</v>
      </c>
      <c r="F165" s="1"/>
      <c r="G165" s="1" t="s">
        <v>13</v>
      </c>
      <c r="H165" s="1" t="s">
        <v>14</v>
      </c>
      <c r="I165" s="1">
        <f>IFERROR(VLOOKUP(D165,'[1]from mst_stock_group'!A:C,2,0),"")</f>
        <v>0</v>
      </c>
    </row>
    <row r="166" spans="1:9">
      <c r="A166" s="1" t="s">
        <v>392</v>
      </c>
      <c r="B166" s="1">
        <v>62929</v>
      </c>
      <c r="C166" s="1" t="s">
        <v>393</v>
      </c>
      <c r="D166" s="1" t="s">
        <v>342</v>
      </c>
      <c r="E166" s="1" t="s">
        <v>343</v>
      </c>
      <c r="F166" s="1"/>
      <c r="G166" s="1" t="s">
        <v>183</v>
      </c>
      <c r="H166" s="1" t="s">
        <v>184</v>
      </c>
      <c r="I166" s="1" t="str">
        <f>IFERROR(VLOOKUP(D166,'[1]from mst_stock_group'!A:C,2,0),"")</f>
        <v>Other Misc Purchase</v>
      </c>
    </row>
    <row r="167" spans="1:9">
      <c r="A167" s="1" t="s">
        <v>394</v>
      </c>
      <c r="B167" s="1">
        <v>62930</v>
      </c>
      <c r="C167" s="1" t="s">
        <v>395</v>
      </c>
      <c r="D167" s="1" t="s">
        <v>342</v>
      </c>
      <c r="E167" s="1" t="s">
        <v>343</v>
      </c>
      <c r="F167" s="1"/>
      <c r="G167" s="1" t="s">
        <v>13</v>
      </c>
      <c r="H167" s="1" t="s">
        <v>14</v>
      </c>
      <c r="I167" s="1" t="str">
        <f>IFERROR(VLOOKUP(D167,'[1]from mst_stock_group'!A:C,2,0),"")</f>
        <v>Other Misc Purchase</v>
      </c>
    </row>
    <row r="168" spans="1:9">
      <c r="A168" s="1" t="s">
        <v>396</v>
      </c>
      <c r="B168" s="1">
        <v>64862</v>
      </c>
      <c r="C168" s="1" t="s">
        <v>397</v>
      </c>
      <c r="D168" s="1" t="s">
        <v>221</v>
      </c>
      <c r="E168" s="1" t="s">
        <v>222</v>
      </c>
      <c r="F168" s="1"/>
      <c r="G168" s="1" t="s">
        <v>242</v>
      </c>
      <c r="H168" s="1" t="s">
        <v>243</v>
      </c>
      <c r="I168" s="1">
        <f>IFERROR(VLOOKUP(D168,'[1]from mst_stock_group'!A:C,2,0),"")</f>
        <v>0</v>
      </c>
    </row>
    <row r="169" spans="1:9">
      <c r="A169" s="1" t="s">
        <v>398</v>
      </c>
      <c r="B169" s="1">
        <v>64825</v>
      </c>
      <c r="C169" s="1" t="s">
        <v>399</v>
      </c>
      <c r="D169" s="1" t="s">
        <v>191</v>
      </c>
      <c r="E169" s="1" t="s">
        <v>192</v>
      </c>
      <c r="F169" s="1"/>
      <c r="G169" s="1" t="s">
        <v>57</v>
      </c>
      <c r="H169" s="1" t="s">
        <v>58</v>
      </c>
      <c r="I169" s="1">
        <f>IFERROR(VLOOKUP(D169,'[1]from mst_stock_group'!A:C,2,0),"")</f>
        <v>0</v>
      </c>
    </row>
    <row r="170" spans="1:9">
      <c r="A170" s="1" t="s">
        <v>400</v>
      </c>
      <c r="B170" s="1">
        <v>62755</v>
      </c>
      <c r="C170" s="1" t="s">
        <v>401</v>
      </c>
      <c r="D170" s="1" t="s">
        <v>143</v>
      </c>
      <c r="E170" s="1" t="s">
        <v>144</v>
      </c>
      <c r="F170" s="1"/>
      <c r="G170" s="1" t="s">
        <v>57</v>
      </c>
      <c r="H170" s="1" t="s">
        <v>58</v>
      </c>
      <c r="I170" s="1" t="str">
        <f>IFERROR(VLOOKUP(D170,'[1]from mst_stock_group'!A:C,2,0),"")</f>
        <v>Finished Goods Stock</v>
      </c>
    </row>
    <row r="171" spans="1:9">
      <c r="A171" s="1" t="s">
        <v>402</v>
      </c>
      <c r="B171" s="1">
        <v>64468</v>
      </c>
      <c r="C171" s="1" t="s">
        <v>403</v>
      </c>
      <c r="D171" s="1" t="s">
        <v>298</v>
      </c>
      <c r="E171" s="1" t="s">
        <v>299</v>
      </c>
      <c r="F171" s="1"/>
      <c r="G171" s="1" t="s">
        <v>183</v>
      </c>
      <c r="H171" s="1" t="s">
        <v>184</v>
      </c>
      <c r="I171" s="1">
        <f>IFERROR(VLOOKUP(D171,'[1]from mst_stock_group'!A:C,2,0),"")</f>
        <v>0</v>
      </c>
    </row>
    <row r="172" spans="1:9">
      <c r="A172" s="1" t="s">
        <v>404</v>
      </c>
      <c r="B172" s="1">
        <v>62719</v>
      </c>
      <c r="C172" s="1" t="s">
        <v>405</v>
      </c>
      <c r="D172" s="1" t="s">
        <v>205</v>
      </c>
      <c r="E172" s="1" t="s">
        <v>206</v>
      </c>
      <c r="F172" s="1"/>
      <c r="G172" s="1" t="s">
        <v>57</v>
      </c>
      <c r="H172" s="1" t="s">
        <v>58</v>
      </c>
      <c r="I172" s="1">
        <f>IFERROR(VLOOKUP(D172,'[1]from mst_stock_group'!A:C,2,0),"")</f>
        <v>0</v>
      </c>
    </row>
    <row r="173" spans="1:9">
      <c r="A173" s="1" t="s">
        <v>406</v>
      </c>
      <c r="B173" s="1">
        <v>62960</v>
      </c>
      <c r="C173" s="1" t="s">
        <v>407</v>
      </c>
      <c r="D173" s="1" t="s">
        <v>67</v>
      </c>
      <c r="E173" s="1" t="s">
        <v>68</v>
      </c>
      <c r="F173" s="1"/>
      <c r="G173" s="1" t="s">
        <v>13</v>
      </c>
      <c r="H173" s="1" t="s">
        <v>14</v>
      </c>
      <c r="I173" s="1">
        <f>IFERROR(VLOOKUP(D173,'[1]from mst_stock_group'!A:C,2,0),"")</f>
        <v>0</v>
      </c>
    </row>
    <row r="174" spans="1:9">
      <c r="A174" s="1" t="s">
        <v>408</v>
      </c>
      <c r="B174" s="1">
        <v>62926</v>
      </c>
      <c r="C174" s="1" t="s">
        <v>409</v>
      </c>
      <c r="D174" s="1" t="s">
        <v>342</v>
      </c>
      <c r="E174" s="1" t="s">
        <v>343</v>
      </c>
      <c r="F174" s="1"/>
      <c r="G174" s="1" t="s">
        <v>183</v>
      </c>
      <c r="H174" s="1" t="s">
        <v>184</v>
      </c>
      <c r="I174" s="1" t="str">
        <f>IFERROR(VLOOKUP(D174,'[1]from mst_stock_group'!A:C,2,0),"")</f>
        <v>Other Misc Purchase</v>
      </c>
    </row>
    <row r="175" spans="1:9">
      <c r="A175" s="1" t="s">
        <v>410</v>
      </c>
      <c r="B175" s="1">
        <v>64046</v>
      </c>
      <c r="C175" s="1" t="s">
        <v>411</v>
      </c>
      <c r="D175" s="1" t="s">
        <v>342</v>
      </c>
      <c r="E175" s="1" t="s">
        <v>343</v>
      </c>
      <c r="F175" s="1"/>
      <c r="G175" s="1" t="s">
        <v>13</v>
      </c>
      <c r="H175" s="1" t="s">
        <v>14</v>
      </c>
      <c r="I175" s="1" t="str">
        <f>IFERROR(VLOOKUP(D175,'[1]from mst_stock_group'!A:C,2,0),"")</f>
        <v>Other Misc Purchase</v>
      </c>
    </row>
    <row r="176" spans="1:9">
      <c r="A176" s="1" t="s">
        <v>412</v>
      </c>
      <c r="B176" s="1">
        <v>62720</v>
      </c>
      <c r="C176" s="1" t="s">
        <v>413</v>
      </c>
      <c r="D176" s="1" t="s">
        <v>191</v>
      </c>
      <c r="E176" s="1" t="s">
        <v>192</v>
      </c>
      <c r="F176" s="1"/>
      <c r="G176" s="1" t="s">
        <v>57</v>
      </c>
      <c r="H176" s="1" t="s">
        <v>58</v>
      </c>
      <c r="I176" s="1">
        <f>IFERROR(VLOOKUP(D176,'[1]from mst_stock_group'!A:C,2,0),"")</f>
        <v>0</v>
      </c>
    </row>
    <row r="177" spans="1:9">
      <c r="A177" s="1" t="s">
        <v>414</v>
      </c>
      <c r="B177" s="1">
        <v>62943</v>
      </c>
      <c r="C177" s="1" t="s">
        <v>415</v>
      </c>
      <c r="D177" s="1" t="s">
        <v>191</v>
      </c>
      <c r="E177" s="1" t="s">
        <v>192</v>
      </c>
      <c r="F177" s="1"/>
      <c r="G177" s="1" t="s">
        <v>13</v>
      </c>
      <c r="H177" s="1" t="s">
        <v>14</v>
      </c>
      <c r="I177" s="1">
        <f>IFERROR(VLOOKUP(D177,'[1]from mst_stock_group'!A:C,2,0),"")</f>
        <v>0</v>
      </c>
    </row>
    <row r="178" spans="1:9">
      <c r="A178" s="1" t="s">
        <v>416</v>
      </c>
      <c r="B178" s="1">
        <v>63478</v>
      </c>
      <c r="C178" s="1" t="s">
        <v>417</v>
      </c>
      <c r="D178" s="1" t="s">
        <v>418</v>
      </c>
      <c r="E178" s="1" t="s">
        <v>419</v>
      </c>
      <c r="F178" s="1"/>
      <c r="G178" s="1" t="s">
        <v>13</v>
      </c>
      <c r="H178" s="1" t="s">
        <v>14</v>
      </c>
      <c r="I178" s="1">
        <f>IFERROR(VLOOKUP(D178,'[1]from mst_stock_group'!A:C,2,0),"")</f>
        <v>0</v>
      </c>
    </row>
    <row r="179" spans="1:9">
      <c r="A179" s="1" t="s">
        <v>420</v>
      </c>
      <c r="B179" s="1">
        <v>63476</v>
      </c>
      <c r="C179" s="1" t="s">
        <v>421</v>
      </c>
      <c r="D179" s="1" t="s">
        <v>316</v>
      </c>
      <c r="E179" s="1" t="s">
        <v>317</v>
      </c>
      <c r="F179" s="1"/>
      <c r="G179" s="1" t="s">
        <v>13</v>
      </c>
      <c r="H179" s="1" t="s">
        <v>14</v>
      </c>
      <c r="I179" s="1" t="str">
        <f>IFERROR(VLOOKUP(D179,'[1]from mst_stock_group'!A:C,2,0),"")</f>
        <v>Store &amp; Spares</v>
      </c>
    </row>
    <row r="180" spans="1:9">
      <c r="A180" s="1" t="s">
        <v>422</v>
      </c>
      <c r="B180" s="1">
        <v>62953</v>
      </c>
      <c r="C180" s="1" t="s">
        <v>423</v>
      </c>
      <c r="D180" s="1" t="s">
        <v>316</v>
      </c>
      <c r="E180" s="1" t="s">
        <v>317</v>
      </c>
      <c r="F180" s="1"/>
      <c r="G180" s="1" t="s">
        <v>13</v>
      </c>
      <c r="H180" s="1" t="s">
        <v>14</v>
      </c>
      <c r="I180" s="1" t="str">
        <f>IFERROR(VLOOKUP(D180,'[1]from mst_stock_group'!A:C,2,0),"")</f>
        <v>Store &amp; Spares</v>
      </c>
    </row>
    <row r="181" spans="1:9">
      <c r="A181" s="1" t="s">
        <v>424</v>
      </c>
      <c r="B181" s="1">
        <v>62954</v>
      </c>
      <c r="C181" s="1" t="s">
        <v>425</v>
      </c>
      <c r="D181" s="1" t="s">
        <v>316</v>
      </c>
      <c r="E181" s="1" t="s">
        <v>317</v>
      </c>
      <c r="F181" s="1"/>
      <c r="G181" s="1" t="s">
        <v>13</v>
      </c>
      <c r="H181" s="1" t="s">
        <v>14</v>
      </c>
      <c r="I181" s="1" t="str">
        <f>IFERROR(VLOOKUP(D181,'[1]from mst_stock_group'!A:C,2,0),"")</f>
        <v>Store &amp; Spares</v>
      </c>
    </row>
    <row r="182" spans="1:9">
      <c r="A182" s="1" t="s">
        <v>426</v>
      </c>
      <c r="B182" s="1">
        <v>62947</v>
      </c>
      <c r="C182" s="1" t="s">
        <v>427</v>
      </c>
      <c r="D182" s="1" t="s">
        <v>191</v>
      </c>
      <c r="E182" s="1" t="s">
        <v>192</v>
      </c>
      <c r="F182" s="1"/>
      <c r="G182" s="1" t="s">
        <v>57</v>
      </c>
      <c r="H182" s="1" t="s">
        <v>58</v>
      </c>
      <c r="I182" s="1">
        <f>IFERROR(VLOOKUP(D182,'[1]from mst_stock_group'!A:C,2,0),"")</f>
        <v>0</v>
      </c>
    </row>
    <row r="183" spans="1:9">
      <c r="A183" s="1" t="s">
        <v>428</v>
      </c>
      <c r="B183" s="1">
        <v>62721</v>
      </c>
      <c r="C183" s="1" t="s">
        <v>429</v>
      </c>
      <c r="D183" s="1" t="s">
        <v>205</v>
      </c>
      <c r="E183" s="1" t="s">
        <v>206</v>
      </c>
      <c r="F183" s="1"/>
      <c r="G183" s="1" t="s">
        <v>57</v>
      </c>
      <c r="H183" s="1" t="s">
        <v>58</v>
      </c>
      <c r="I183" s="1">
        <f>IFERROR(VLOOKUP(D183,'[1]from mst_stock_group'!A:C,2,0),"")</f>
        <v>0</v>
      </c>
    </row>
    <row r="184" spans="1:9">
      <c r="A184" s="1" t="s">
        <v>430</v>
      </c>
      <c r="B184" s="1">
        <v>62766</v>
      </c>
      <c r="C184" s="1" t="s">
        <v>431</v>
      </c>
      <c r="D184" s="1" t="s">
        <v>61</v>
      </c>
      <c r="E184" s="1" t="s">
        <v>62</v>
      </c>
      <c r="F184" s="1"/>
      <c r="G184" s="1" t="s">
        <v>13</v>
      </c>
      <c r="H184" s="1" t="s">
        <v>14</v>
      </c>
      <c r="I184" s="1">
        <f>IFERROR(VLOOKUP(D184,'[1]from mst_stock_group'!A:C,2,0),"")</f>
        <v>0</v>
      </c>
    </row>
    <row r="185" spans="1:9">
      <c r="A185" s="1" t="s">
        <v>432</v>
      </c>
      <c r="B185" s="1">
        <v>62773</v>
      </c>
      <c r="C185" s="1" t="s">
        <v>433</v>
      </c>
      <c r="D185" s="1" t="s">
        <v>205</v>
      </c>
      <c r="E185" s="1" t="s">
        <v>206</v>
      </c>
      <c r="F185" s="1"/>
      <c r="G185" s="1" t="s">
        <v>57</v>
      </c>
      <c r="H185" s="1" t="s">
        <v>58</v>
      </c>
      <c r="I185" s="1">
        <f>IFERROR(VLOOKUP(D185,'[1]from mst_stock_group'!A:C,2,0),"")</f>
        <v>0</v>
      </c>
    </row>
    <row r="186" spans="1:9">
      <c r="A186" s="1" t="s">
        <v>434</v>
      </c>
      <c r="B186" s="1">
        <v>62764</v>
      </c>
      <c r="C186" s="1" t="s">
        <v>435</v>
      </c>
      <c r="D186" s="1" t="s">
        <v>61</v>
      </c>
      <c r="E186" s="1" t="s">
        <v>62</v>
      </c>
      <c r="F186" s="1"/>
      <c r="G186" s="1" t="s">
        <v>242</v>
      </c>
      <c r="H186" s="1" t="s">
        <v>243</v>
      </c>
      <c r="I186" s="1">
        <f>IFERROR(VLOOKUP(D186,'[1]from mst_stock_group'!A:C,2,0),"")</f>
        <v>0</v>
      </c>
    </row>
    <row r="187" spans="1:9">
      <c r="A187" s="1" t="s">
        <v>436</v>
      </c>
      <c r="B187" s="1">
        <v>62962</v>
      </c>
      <c r="C187" s="1" t="s">
        <v>437</v>
      </c>
      <c r="D187" s="1"/>
      <c r="E187" s="1"/>
      <c r="F187" s="1"/>
      <c r="G187" s="1" t="s">
        <v>227</v>
      </c>
      <c r="H187" s="1" t="s">
        <v>228</v>
      </c>
      <c r="I187" s="1" t="str">
        <f>IFERROR(VLOOKUP(D187,'[1]from mst_stock_group'!A:C,2,0),"")</f>
        <v/>
      </c>
    </row>
    <row r="188" spans="1:9">
      <c r="A188" s="1" t="s">
        <v>438</v>
      </c>
      <c r="B188" s="1">
        <v>64552</v>
      </c>
      <c r="C188" s="1" t="s">
        <v>439</v>
      </c>
      <c r="D188" s="1" t="s">
        <v>440</v>
      </c>
      <c r="E188" s="1" t="s">
        <v>441</v>
      </c>
      <c r="F188" s="1"/>
      <c r="G188" s="1" t="s">
        <v>13</v>
      </c>
      <c r="H188" s="1" t="s">
        <v>14</v>
      </c>
      <c r="I188" s="1" t="str">
        <f>IFERROR(VLOOKUP(D188,'[1]from mst_stock_group'!A:C,2,0),"")</f>
        <v>Packing Material Stock</v>
      </c>
    </row>
    <row r="189" spans="1:9">
      <c r="A189" s="1" t="s">
        <v>442</v>
      </c>
      <c r="B189" s="1">
        <v>64553</v>
      </c>
      <c r="C189" s="1" t="s">
        <v>443</v>
      </c>
      <c r="D189" s="1" t="s">
        <v>440</v>
      </c>
      <c r="E189" s="1" t="s">
        <v>441</v>
      </c>
      <c r="F189" s="1"/>
      <c r="G189" s="1" t="s">
        <v>13</v>
      </c>
      <c r="H189" s="1" t="s">
        <v>14</v>
      </c>
      <c r="I189" s="1" t="str">
        <f>IFERROR(VLOOKUP(D189,'[1]from mst_stock_group'!A:C,2,0),"")</f>
        <v>Packing Material Stock</v>
      </c>
    </row>
    <row r="190" spans="1:9">
      <c r="A190" s="1" t="s">
        <v>444</v>
      </c>
      <c r="B190" s="1">
        <v>62924</v>
      </c>
      <c r="C190" s="1" t="s">
        <v>445</v>
      </c>
      <c r="D190" s="1" t="s">
        <v>199</v>
      </c>
      <c r="E190" s="1" t="s">
        <v>200</v>
      </c>
      <c r="F190" s="1"/>
      <c r="G190" s="1" t="s">
        <v>242</v>
      </c>
      <c r="H190" s="1" t="s">
        <v>243</v>
      </c>
      <c r="I190" s="1" t="str">
        <f>IFERROR(VLOOKUP(D190,'[1]from mst_stock_group'!A:C,2,0),"")</f>
        <v>Store &amp; Spares</v>
      </c>
    </row>
    <row r="191" spans="1:9">
      <c r="A191" s="1" t="s">
        <v>446</v>
      </c>
      <c r="B191" s="1">
        <v>62921</v>
      </c>
      <c r="C191" s="1" t="s">
        <v>447</v>
      </c>
      <c r="D191" s="1" t="s">
        <v>199</v>
      </c>
      <c r="E191" s="1" t="s">
        <v>200</v>
      </c>
      <c r="F191" s="1"/>
      <c r="G191" s="1" t="s">
        <v>183</v>
      </c>
      <c r="H191" s="1" t="s">
        <v>184</v>
      </c>
      <c r="I191" s="1" t="str">
        <f>IFERROR(VLOOKUP(D191,'[1]from mst_stock_group'!A:C,2,0),"")</f>
        <v>Store &amp; Spares</v>
      </c>
    </row>
    <row r="192" spans="1:9">
      <c r="A192" s="1" t="s">
        <v>448</v>
      </c>
      <c r="B192" s="1">
        <v>62723</v>
      </c>
      <c r="C192" s="1" t="s">
        <v>449</v>
      </c>
      <c r="D192" s="1" t="s">
        <v>61</v>
      </c>
      <c r="E192" s="1" t="s">
        <v>62</v>
      </c>
      <c r="F192" s="1"/>
      <c r="G192" s="1" t="s">
        <v>13</v>
      </c>
      <c r="H192" s="1" t="s">
        <v>14</v>
      </c>
      <c r="I192" s="1">
        <f>IFERROR(VLOOKUP(D192,'[1]from mst_stock_group'!A:C,2,0),"")</f>
        <v>0</v>
      </c>
    </row>
    <row r="193" spans="1:9">
      <c r="A193" s="1" t="s">
        <v>450</v>
      </c>
      <c r="B193" s="1">
        <v>62786</v>
      </c>
      <c r="C193" s="1" t="s">
        <v>451</v>
      </c>
      <c r="D193" s="1" t="s">
        <v>61</v>
      </c>
      <c r="E193" s="1" t="s">
        <v>62</v>
      </c>
      <c r="F193" s="1"/>
      <c r="G193" s="1" t="s">
        <v>13</v>
      </c>
      <c r="H193" s="1" t="s">
        <v>14</v>
      </c>
      <c r="I193" s="1">
        <f>IFERROR(VLOOKUP(D193,'[1]from mst_stock_group'!A:C,2,0),"")</f>
        <v>0</v>
      </c>
    </row>
    <row r="194" spans="1:9">
      <c r="A194" s="1" t="s">
        <v>452</v>
      </c>
      <c r="B194" s="1">
        <v>62919</v>
      </c>
      <c r="C194" s="1" t="s">
        <v>453</v>
      </c>
      <c r="D194" s="1" t="s">
        <v>342</v>
      </c>
      <c r="E194" s="1" t="s">
        <v>343</v>
      </c>
      <c r="F194" s="1"/>
      <c r="G194" s="1" t="s">
        <v>13</v>
      </c>
      <c r="H194" s="1" t="s">
        <v>14</v>
      </c>
      <c r="I194" s="1" t="str">
        <f>IFERROR(VLOOKUP(D194,'[1]from mst_stock_group'!A:C,2,0),"")</f>
        <v>Other Misc Purchase</v>
      </c>
    </row>
    <row r="195" spans="1:9">
      <c r="A195" s="1" t="s">
        <v>454</v>
      </c>
      <c r="B195" s="1">
        <v>62816</v>
      </c>
      <c r="C195" s="1" t="s">
        <v>455</v>
      </c>
      <c r="D195" s="1" t="s">
        <v>205</v>
      </c>
      <c r="E195" s="1" t="s">
        <v>206</v>
      </c>
      <c r="F195" s="1"/>
      <c r="G195" s="1" t="s">
        <v>57</v>
      </c>
      <c r="H195" s="1" t="s">
        <v>58</v>
      </c>
      <c r="I195" s="1">
        <f>IFERROR(VLOOKUP(D195,'[1]from mst_stock_group'!A:C,2,0),"")</f>
        <v>0</v>
      </c>
    </row>
    <row r="196" spans="1:9">
      <c r="A196" s="1" t="s">
        <v>456</v>
      </c>
      <c r="B196" s="1">
        <v>63644</v>
      </c>
      <c r="C196" s="1" t="s">
        <v>457</v>
      </c>
      <c r="D196" s="1" t="s">
        <v>316</v>
      </c>
      <c r="E196" s="1" t="s">
        <v>317</v>
      </c>
      <c r="F196" s="1"/>
      <c r="G196" s="1" t="s">
        <v>13</v>
      </c>
      <c r="H196" s="1" t="s">
        <v>14</v>
      </c>
      <c r="I196" s="1" t="str">
        <f>IFERROR(VLOOKUP(D196,'[1]from mst_stock_group'!A:C,2,0),"")</f>
        <v>Store &amp; Spares</v>
      </c>
    </row>
    <row r="197" spans="1:9">
      <c r="A197" s="1" t="s">
        <v>458</v>
      </c>
      <c r="B197" s="1">
        <v>63614</v>
      </c>
      <c r="C197" s="1" t="s">
        <v>459</v>
      </c>
      <c r="D197" s="1" t="s">
        <v>316</v>
      </c>
      <c r="E197" s="1" t="s">
        <v>317</v>
      </c>
      <c r="F197" s="1"/>
      <c r="G197" s="1" t="s">
        <v>13</v>
      </c>
      <c r="H197" s="1" t="s">
        <v>14</v>
      </c>
      <c r="I197" s="1" t="str">
        <f>IFERROR(VLOOKUP(D197,'[1]from mst_stock_group'!A:C,2,0),"")</f>
        <v>Store &amp; Spares</v>
      </c>
    </row>
    <row r="198" spans="1:9">
      <c r="A198" s="1" t="s">
        <v>460</v>
      </c>
      <c r="B198" s="1">
        <v>63172</v>
      </c>
      <c r="C198" s="1" t="s">
        <v>461</v>
      </c>
      <c r="D198" s="1" t="s">
        <v>316</v>
      </c>
      <c r="E198" s="1" t="s">
        <v>317</v>
      </c>
      <c r="F198" s="1"/>
      <c r="G198" s="1" t="s">
        <v>13</v>
      </c>
      <c r="H198" s="1" t="s">
        <v>14</v>
      </c>
      <c r="I198" s="1" t="str">
        <f>IFERROR(VLOOKUP(D198,'[1]from mst_stock_group'!A:C,2,0),"")</f>
        <v>Store &amp; Spares</v>
      </c>
    </row>
    <row r="199" spans="1:9">
      <c r="A199" s="1" t="s">
        <v>462</v>
      </c>
      <c r="B199" s="1">
        <v>62938</v>
      </c>
      <c r="C199" s="1" t="s">
        <v>463</v>
      </c>
      <c r="D199" s="1" t="s">
        <v>316</v>
      </c>
      <c r="E199" s="1" t="s">
        <v>317</v>
      </c>
      <c r="F199" s="1"/>
      <c r="G199" s="1" t="s">
        <v>13</v>
      </c>
      <c r="H199" s="1" t="s">
        <v>14</v>
      </c>
      <c r="I199" s="1" t="str">
        <f>IFERROR(VLOOKUP(D199,'[1]from mst_stock_group'!A:C,2,0),"")</f>
        <v>Store &amp; Spares</v>
      </c>
    </row>
    <row r="200" spans="1:9">
      <c r="A200" s="1" t="s">
        <v>464</v>
      </c>
      <c r="B200" s="1">
        <v>62931</v>
      </c>
      <c r="C200" s="1" t="s">
        <v>465</v>
      </c>
      <c r="D200" s="1" t="s">
        <v>316</v>
      </c>
      <c r="E200" s="1" t="s">
        <v>317</v>
      </c>
      <c r="F200" s="1"/>
      <c r="G200" s="1" t="s">
        <v>13</v>
      </c>
      <c r="H200" s="1" t="s">
        <v>14</v>
      </c>
      <c r="I200" s="1" t="str">
        <f>IFERROR(VLOOKUP(D200,'[1]from mst_stock_group'!A:C,2,0),"")</f>
        <v>Store &amp; Spares</v>
      </c>
    </row>
    <row r="201" spans="1:9">
      <c r="A201" s="1" t="s">
        <v>466</v>
      </c>
      <c r="B201" s="1">
        <v>63637</v>
      </c>
      <c r="C201" s="1" t="s">
        <v>467</v>
      </c>
      <c r="D201" s="1" t="s">
        <v>316</v>
      </c>
      <c r="E201" s="1" t="s">
        <v>317</v>
      </c>
      <c r="F201" s="1"/>
      <c r="G201" s="1" t="s">
        <v>13</v>
      </c>
      <c r="H201" s="1" t="s">
        <v>14</v>
      </c>
      <c r="I201" s="1" t="str">
        <f>IFERROR(VLOOKUP(D201,'[1]from mst_stock_group'!A:C,2,0),"")</f>
        <v>Store &amp; Spares</v>
      </c>
    </row>
    <row r="202" spans="1:9">
      <c r="A202" s="1" t="s">
        <v>468</v>
      </c>
      <c r="B202" s="1">
        <v>62825</v>
      </c>
      <c r="C202" s="1" t="s">
        <v>469</v>
      </c>
      <c r="D202" s="1" t="s">
        <v>342</v>
      </c>
      <c r="E202" s="1" t="s">
        <v>343</v>
      </c>
      <c r="F202" s="1"/>
      <c r="G202" s="1" t="s">
        <v>13</v>
      </c>
      <c r="H202" s="1" t="s">
        <v>14</v>
      </c>
      <c r="I202" s="1" t="str">
        <f>IFERROR(VLOOKUP(D202,'[1]from mst_stock_group'!A:C,2,0),"")</f>
        <v>Other Misc Purchase</v>
      </c>
    </row>
    <row r="203" spans="1:9">
      <c r="A203" s="1" t="s">
        <v>470</v>
      </c>
      <c r="B203" s="1">
        <v>62814</v>
      </c>
      <c r="C203" s="1" t="s">
        <v>471</v>
      </c>
      <c r="D203" s="1" t="s">
        <v>205</v>
      </c>
      <c r="E203" s="1" t="s">
        <v>206</v>
      </c>
      <c r="F203" s="1"/>
      <c r="G203" s="1" t="s">
        <v>57</v>
      </c>
      <c r="H203" s="1" t="s">
        <v>58</v>
      </c>
      <c r="I203" s="1">
        <f>IFERROR(VLOOKUP(D203,'[1]from mst_stock_group'!A:C,2,0),"")</f>
        <v>0</v>
      </c>
    </row>
    <row r="204" spans="1:9">
      <c r="A204" s="1" t="s">
        <v>472</v>
      </c>
      <c r="B204" s="1">
        <v>62817</v>
      </c>
      <c r="C204" s="1" t="s">
        <v>473</v>
      </c>
      <c r="D204" s="1" t="s">
        <v>205</v>
      </c>
      <c r="E204" s="1" t="s">
        <v>206</v>
      </c>
      <c r="F204" s="1"/>
      <c r="G204" s="1" t="s">
        <v>57</v>
      </c>
      <c r="H204" s="1" t="s">
        <v>58</v>
      </c>
      <c r="I204" s="1">
        <f>IFERROR(VLOOKUP(D204,'[1]from mst_stock_group'!A:C,2,0),"")</f>
        <v>0</v>
      </c>
    </row>
    <row r="205" spans="1:9">
      <c r="A205" s="1" t="s">
        <v>474</v>
      </c>
      <c r="B205" s="1">
        <v>62821</v>
      </c>
      <c r="C205" s="1" t="s">
        <v>475</v>
      </c>
      <c r="D205" s="1" t="s">
        <v>205</v>
      </c>
      <c r="E205" s="1" t="s">
        <v>206</v>
      </c>
      <c r="F205" s="1"/>
      <c r="G205" s="1" t="s">
        <v>57</v>
      </c>
      <c r="H205" s="1" t="s">
        <v>58</v>
      </c>
      <c r="I205" s="1">
        <f>IFERROR(VLOOKUP(D205,'[1]from mst_stock_group'!A:C,2,0),"")</f>
        <v>0</v>
      </c>
    </row>
    <row r="206" spans="1:9">
      <c r="A206" s="1" t="s">
        <v>476</v>
      </c>
      <c r="B206" s="1">
        <v>63887</v>
      </c>
      <c r="C206" s="1" t="s">
        <v>477</v>
      </c>
      <c r="D206" s="1" t="s">
        <v>191</v>
      </c>
      <c r="E206" s="1" t="s">
        <v>192</v>
      </c>
      <c r="F206" s="1"/>
      <c r="G206" s="1" t="s">
        <v>13</v>
      </c>
      <c r="H206" s="1" t="s">
        <v>14</v>
      </c>
      <c r="I206" s="1">
        <f>IFERROR(VLOOKUP(D206,'[1]from mst_stock_group'!A:C,2,0),"")</f>
        <v>0</v>
      </c>
    </row>
    <row r="207" spans="1:9">
      <c r="A207" s="1" t="s">
        <v>478</v>
      </c>
      <c r="B207" s="1">
        <v>62864</v>
      </c>
      <c r="C207" s="1" t="s">
        <v>479</v>
      </c>
      <c r="D207" s="1" t="s">
        <v>143</v>
      </c>
      <c r="E207" s="1" t="s">
        <v>144</v>
      </c>
      <c r="F207" s="1"/>
      <c r="G207" s="1" t="s">
        <v>57</v>
      </c>
      <c r="H207" s="1" t="s">
        <v>58</v>
      </c>
      <c r="I207" s="1" t="str">
        <f>IFERROR(VLOOKUP(D207,'[1]from mst_stock_group'!A:C,2,0),"")</f>
        <v>Finished Goods Stock</v>
      </c>
    </row>
    <row r="208" spans="1:9">
      <c r="A208" s="1" t="s">
        <v>480</v>
      </c>
      <c r="B208" s="1">
        <v>62751</v>
      </c>
      <c r="C208" s="1" t="s">
        <v>481</v>
      </c>
      <c r="D208" s="1" t="s">
        <v>143</v>
      </c>
      <c r="E208" s="1" t="s">
        <v>144</v>
      </c>
      <c r="F208" s="1"/>
      <c r="G208" s="1" t="s">
        <v>57</v>
      </c>
      <c r="H208" s="1" t="s">
        <v>58</v>
      </c>
      <c r="I208" s="1" t="str">
        <f>IFERROR(VLOOKUP(D208,'[1]from mst_stock_group'!A:C,2,0),"")</f>
        <v>Finished Goods Stock</v>
      </c>
    </row>
    <row r="209" spans="1:9">
      <c r="A209" s="1" t="s">
        <v>482</v>
      </c>
      <c r="B209" s="1">
        <v>62832</v>
      </c>
      <c r="C209" s="1" t="s">
        <v>483</v>
      </c>
      <c r="D209" s="1" t="s">
        <v>143</v>
      </c>
      <c r="E209" s="1" t="s">
        <v>144</v>
      </c>
      <c r="F209" s="1"/>
      <c r="G209" s="1" t="s">
        <v>57</v>
      </c>
      <c r="H209" s="1" t="s">
        <v>58</v>
      </c>
      <c r="I209" s="1" t="str">
        <f>IFERROR(VLOOKUP(D209,'[1]from mst_stock_group'!A:C,2,0),"")</f>
        <v>Finished Goods Stock</v>
      </c>
    </row>
    <row r="210" spans="1:9">
      <c r="A210" s="1" t="s">
        <v>484</v>
      </c>
      <c r="B210" s="1">
        <v>64784</v>
      </c>
      <c r="C210" s="1" t="s">
        <v>485</v>
      </c>
      <c r="D210" s="1" t="s">
        <v>151</v>
      </c>
      <c r="E210" s="1" t="s">
        <v>152</v>
      </c>
      <c r="F210" s="1"/>
      <c r="G210" s="1" t="s">
        <v>57</v>
      </c>
      <c r="H210" s="1" t="s">
        <v>58</v>
      </c>
      <c r="I210" s="1" t="str">
        <f>IFERROR(VLOOKUP(D210,'[1]from mst_stock_group'!A:C,2,0),"")</f>
        <v>Finished Goods Stock</v>
      </c>
    </row>
    <row r="211" spans="1:9">
      <c r="A211" s="1" t="s">
        <v>486</v>
      </c>
      <c r="B211" s="1">
        <v>62752</v>
      </c>
      <c r="C211" s="1" t="s">
        <v>487</v>
      </c>
      <c r="D211" s="1" t="s">
        <v>143</v>
      </c>
      <c r="E211" s="1" t="s">
        <v>144</v>
      </c>
      <c r="F211" s="1"/>
      <c r="G211" s="1" t="s">
        <v>57</v>
      </c>
      <c r="H211" s="1" t="s">
        <v>58</v>
      </c>
      <c r="I211" s="1" t="str">
        <f>IFERROR(VLOOKUP(D211,'[1]from mst_stock_group'!A:C,2,0),"")</f>
        <v>Finished Goods Stock</v>
      </c>
    </row>
    <row r="212" spans="1:9">
      <c r="A212" s="1" t="s">
        <v>488</v>
      </c>
      <c r="B212" s="1">
        <v>64464</v>
      </c>
      <c r="C212" s="1" t="s">
        <v>489</v>
      </c>
      <c r="D212" s="1" t="s">
        <v>298</v>
      </c>
      <c r="E212" s="1" t="s">
        <v>299</v>
      </c>
      <c r="F212" s="1"/>
      <c r="G212" s="1" t="s">
        <v>183</v>
      </c>
      <c r="H212" s="1" t="s">
        <v>184</v>
      </c>
      <c r="I212" s="1">
        <f>IFERROR(VLOOKUP(D212,'[1]from mst_stock_group'!A:C,2,0),"")</f>
        <v>0</v>
      </c>
    </row>
    <row r="213" spans="1:9">
      <c r="A213" s="1" t="s">
        <v>490</v>
      </c>
      <c r="B213" s="1">
        <v>64465</v>
      </c>
      <c r="C213" s="1" t="s">
        <v>491</v>
      </c>
      <c r="D213" s="1" t="s">
        <v>298</v>
      </c>
      <c r="E213" s="1" t="s">
        <v>299</v>
      </c>
      <c r="F213" s="1"/>
      <c r="G213" s="1" t="s">
        <v>183</v>
      </c>
      <c r="H213" s="1" t="s">
        <v>184</v>
      </c>
      <c r="I213" s="1">
        <f>IFERROR(VLOOKUP(D213,'[1]from mst_stock_group'!A:C,2,0),"")</f>
        <v>0</v>
      </c>
    </row>
    <row r="214" spans="1:9">
      <c r="A214" s="1" t="s">
        <v>492</v>
      </c>
      <c r="B214" s="1">
        <v>62939</v>
      </c>
      <c r="C214" s="1" t="s">
        <v>493</v>
      </c>
      <c r="D214" s="1" t="s">
        <v>143</v>
      </c>
      <c r="E214" s="1" t="s">
        <v>144</v>
      </c>
      <c r="F214" s="1"/>
      <c r="G214" s="1" t="s">
        <v>57</v>
      </c>
      <c r="H214" s="1" t="s">
        <v>58</v>
      </c>
      <c r="I214" s="1" t="str">
        <f>IFERROR(VLOOKUP(D214,'[1]from mst_stock_group'!A:C,2,0),"")</f>
        <v>Finished Goods Stock</v>
      </c>
    </row>
    <row r="215" spans="1:9">
      <c r="A215" s="1" t="s">
        <v>494</v>
      </c>
      <c r="B215" s="1">
        <v>62759</v>
      </c>
      <c r="C215" s="1" t="s">
        <v>495</v>
      </c>
      <c r="D215" s="1" t="s">
        <v>143</v>
      </c>
      <c r="E215" s="1" t="s">
        <v>144</v>
      </c>
      <c r="F215" s="1"/>
      <c r="G215" s="1" t="s">
        <v>57</v>
      </c>
      <c r="H215" s="1" t="s">
        <v>58</v>
      </c>
      <c r="I215" s="1" t="str">
        <f>IFERROR(VLOOKUP(D215,'[1]from mst_stock_group'!A:C,2,0),"")</f>
        <v>Finished Goods Stock</v>
      </c>
    </row>
    <row r="216" spans="1:9">
      <c r="A216" s="1" t="s">
        <v>496</v>
      </c>
      <c r="B216" s="1">
        <v>64466</v>
      </c>
      <c r="C216" s="1" t="s">
        <v>497</v>
      </c>
      <c r="D216" s="1" t="s">
        <v>298</v>
      </c>
      <c r="E216" s="1" t="s">
        <v>299</v>
      </c>
      <c r="F216" s="1"/>
      <c r="G216" s="1" t="s">
        <v>183</v>
      </c>
      <c r="H216" s="1" t="s">
        <v>184</v>
      </c>
      <c r="I216" s="1">
        <f>IFERROR(VLOOKUP(D216,'[1]from mst_stock_group'!A:C,2,0),"")</f>
        <v>0</v>
      </c>
    </row>
    <row r="217" spans="1:9">
      <c r="A217" s="1" t="s">
        <v>498</v>
      </c>
      <c r="B217" s="1">
        <v>64467</v>
      </c>
      <c r="C217" s="1" t="s">
        <v>499</v>
      </c>
      <c r="D217" s="1" t="s">
        <v>298</v>
      </c>
      <c r="E217" s="1" t="s">
        <v>299</v>
      </c>
      <c r="F217" s="1"/>
      <c r="G217" s="1" t="s">
        <v>183</v>
      </c>
      <c r="H217" s="1" t="s">
        <v>184</v>
      </c>
      <c r="I217" s="1">
        <f>IFERROR(VLOOKUP(D217,'[1]from mst_stock_group'!A:C,2,0),"")</f>
        <v>0</v>
      </c>
    </row>
    <row r="218" spans="1:9">
      <c r="A218" s="1" t="s">
        <v>500</v>
      </c>
      <c r="B218" s="1">
        <v>62965</v>
      </c>
      <c r="C218" s="1" t="s">
        <v>501</v>
      </c>
      <c r="D218" s="1" t="s">
        <v>67</v>
      </c>
      <c r="E218" s="1" t="s">
        <v>68</v>
      </c>
      <c r="F218" s="1"/>
      <c r="G218" s="1" t="s">
        <v>57</v>
      </c>
      <c r="H218" s="1" t="s">
        <v>58</v>
      </c>
      <c r="I218" s="1">
        <f>IFERROR(VLOOKUP(D218,'[1]from mst_stock_group'!A:C,2,0),"")</f>
        <v>0</v>
      </c>
    </row>
    <row r="219" spans="1:9">
      <c r="A219" s="1" t="s">
        <v>502</v>
      </c>
      <c r="B219" s="1">
        <v>64824</v>
      </c>
      <c r="C219" s="1" t="s">
        <v>503</v>
      </c>
      <c r="D219" s="1" t="s">
        <v>191</v>
      </c>
      <c r="E219" s="1" t="s">
        <v>192</v>
      </c>
      <c r="F219" s="1"/>
      <c r="G219" s="1" t="s">
        <v>57</v>
      </c>
      <c r="H219" s="1" t="s">
        <v>58</v>
      </c>
      <c r="I219" s="1">
        <f>IFERROR(VLOOKUP(D219,'[1]from mst_stock_group'!A:C,2,0),"")</f>
        <v>0</v>
      </c>
    </row>
    <row r="220" spans="1:9">
      <c r="A220" s="1" t="s">
        <v>504</v>
      </c>
      <c r="B220" s="1">
        <v>62940</v>
      </c>
      <c r="C220" s="1" t="s">
        <v>505</v>
      </c>
      <c r="D220" s="1" t="s">
        <v>191</v>
      </c>
      <c r="E220" s="1" t="s">
        <v>192</v>
      </c>
      <c r="F220" s="1"/>
      <c r="G220" s="1" t="s">
        <v>13</v>
      </c>
      <c r="H220" s="1" t="s">
        <v>14</v>
      </c>
      <c r="I220" s="1">
        <f>IFERROR(VLOOKUP(D220,'[1]from mst_stock_group'!A:C,2,0),"")</f>
        <v>0</v>
      </c>
    </row>
    <row r="221" spans="1:9">
      <c r="A221" s="1" t="s">
        <v>506</v>
      </c>
      <c r="B221" s="1">
        <v>62916</v>
      </c>
      <c r="C221" s="1" t="s">
        <v>507</v>
      </c>
      <c r="D221" s="1" t="s">
        <v>191</v>
      </c>
      <c r="E221" s="1" t="s">
        <v>192</v>
      </c>
      <c r="F221" s="1"/>
      <c r="G221" s="1" t="s">
        <v>57</v>
      </c>
      <c r="H221" s="1" t="s">
        <v>58</v>
      </c>
      <c r="I221" s="1">
        <f>IFERROR(VLOOKUP(D221,'[1]from mst_stock_group'!A:C,2,0),"")</f>
        <v>0</v>
      </c>
    </row>
    <row r="222" spans="1:9">
      <c r="A222" s="1" t="s">
        <v>508</v>
      </c>
      <c r="B222" s="1">
        <v>62725</v>
      </c>
      <c r="C222" s="1" t="s">
        <v>509</v>
      </c>
      <c r="D222" s="1" t="s">
        <v>205</v>
      </c>
      <c r="E222" s="1" t="s">
        <v>206</v>
      </c>
      <c r="F222" s="1"/>
      <c r="G222" s="1" t="s">
        <v>57</v>
      </c>
      <c r="H222" s="1" t="s">
        <v>58</v>
      </c>
      <c r="I222" s="1">
        <f>IFERROR(VLOOKUP(D222,'[1]from mst_stock_group'!A:C,2,0),"")</f>
        <v>0</v>
      </c>
    </row>
    <row r="223" spans="1:9">
      <c r="A223" s="1" t="s">
        <v>510</v>
      </c>
      <c r="B223" s="1">
        <v>64554</v>
      </c>
      <c r="C223" s="1" t="s">
        <v>511</v>
      </c>
      <c r="D223" s="1" t="s">
        <v>512</v>
      </c>
      <c r="E223" s="1" t="s">
        <v>513</v>
      </c>
      <c r="F223" s="1"/>
      <c r="G223" s="1" t="s">
        <v>13</v>
      </c>
      <c r="H223" s="1" t="s">
        <v>14</v>
      </c>
      <c r="I223" s="1" t="str">
        <f>IFERROR(VLOOKUP(D223,'[1]from mst_stock_group'!A:C,2,0),"")</f>
        <v>Packing Material Stock</v>
      </c>
    </row>
    <row r="224" spans="1:9">
      <c r="A224" s="1" t="s">
        <v>514</v>
      </c>
      <c r="B224" s="1">
        <v>64555</v>
      </c>
      <c r="C224" s="1" t="s">
        <v>515</v>
      </c>
      <c r="D224" s="1" t="s">
        <v>512</v>
      </c>
      <c r="E224" s="1" t="s">
        <v>513</v>
      </c>
      <c r="F224" s="1"/>
      <c r="G224" s="1" t="s">
        <v>13</v>
      </c>
      <c r="H224" s="1" t="s">
        <v>14</v>
      </c>
      <c r="I224" s="1" t="str">
        <f>IFERROR(VLOOKUP(D224,'[1]from mst_stock_group'!A:C,2,0),"")</f>
        <v>Packing Material Stock</v>
      </c>
    </row>
    <row r="225" spans="1:9">
      <c r="A225" s="1" t="s">
        <v>516</v>
      </c>
      <c r="B225" s="1">
        <v>64523</v>
      </c>
      <c r="C225" s="1" t="s">
        <v>517</v>
      </c>
      <c r="D225" s="1" t="s">
        <v>81</v>
      </c>
      <c r="E225" s="1" t="s">
        <v>82</v>
      </c>
      <c r="F225" s="1"/>
      <c r="G225" s="1" t="s">
        <v>13</v>
      </c>
      <c r="H225" s="1" t="s">
        <v>14</v>
      </c>
      <c r="I225" s="1" t="str">
        <f>IFERROR(VLOOKUP(D225,'[1]from mst_stock_group'!A:C,2,0),"")</f>
        <v>Packing Material Stock</v>
      </c>
    </row>
    <row r="226" spans="1:9">
      <c r="A226" s="1" t="s">
        <v>518</v>
      </c>
      <c r="B226" s="1">
        <v>64525</v>
      </c>
      <c r="C226" s="1" t="s">
        <v>519</v>
      </c>
      <c r="D226" s="1" t="s">
        <v>81</v>
      </c>
      <c r="E226" s="1" t="s">
        <v>82</v>
      </c>
      <c r="F226" s="1"/>
      <c r="G226" s="1" t="s">
        <v>13</v>
      </c>
      <c r="H226" s="1" t="s">
        <v>14</v>
      </c>
      <c r="I226" s="1" t="str">
        <f>IFERROR(VLOOKUP(D226,'[1]from mst_stock_group'!A:C,2,0),"")</f>
        <v>Packing Material Stock</v>
      </c>
    </row>
    <row r="227" spans="1:9">
      <c r="A227" s="1" t="s">
        <v>520</v>
      </c>
      <c r="B227" s="1">
        <v>63765</v>
      </c>
      <c r="C227" s="1" t="s">
        <v>521</v>
      </c>
      <c r="D227" s="1" t="s">
        <v>61</v>
      </c>
      <c r="E227" s="1" t="s">
        <v>62</v>
      </c>
      <c r="F227" s="1"/>
      <c r="G227" s="1" t="s">
        <v>13</v>
      </c>
      <c r="H227" s="1" t="s">
        <v>14</v>
      </c>
      <c r="I227" s="1">
        <f>IFERROR(VLOOKUP(D227,'[1]from mst_stock_group'!A:C,2,0),"")</f>
        <v>0</v>
      </c>
    </row>
    <row r="228" spans="1:9">
      <c r="A228" s="1" t="s">
        <v>522</v>
      </c>
      <c r="B228" s="1">
        <v>63766</v>
      </c>
      <c r="C228" s="1" t="s">
        <v>523</v>
      </c>
      <c r="D228" s="1" t="s">
        <v>61</v>
      </c>
      <c r="E228" s="1" t="s">
        <v>62</v>
      </c>
      <c r="F228" s="1"/>
      <c r="G228" s="1" t="s">
        <v>13</v>
      </c>
      <c r="H228" s="1" t="s">
        <v>14</v>
      </c>
      <c r="I228" s="1">
        <f>IFERROR(VLOOKUP(D228,'[1]from mst_stock_group'!A:C,2,0),"")</f>
        <v>0</v>
      </c>
    </row>
    <row r="229" spans="1:9">
      <c r="A229" s="1" t="s">
        <v>524</v>
      </c>
      <c r="B229" s="1">
        <v>64526</v>
      </c>
      <c r="C229" s="1" t="s">
        <v>525</v>
      </c>
      <c r="D229" s="1" t="s">
        <v>81</v>
      </c>
      <c r="E229" s="1" t="s">
        <v>82</v>
      </c>
      <c r="F229" s="1"/>
      <c r="G229" s="1" t="s">
        <v>13</v>
      </c>
      <c r="H229" s="1" t="s">
        <v>14</v>
      </c>
      <c r="I229" s="1" t="str">
        <f>IFERROR(VLOOKUP(D229,'[1]from mst_stock_group'!A:C,2,0),"")</f>
        <v>Packing Material Stock</v>
      </c>
    </row>
    <row r="230" spans="1:9">
      <c r="A230" s="1" t="s">
        <v>526</v>
      </c>
      <c r="B230" s="1">
        <v>64556</v>
      </c>
      <c r="C230" s="1" t="s">
        <v>527</v>
      </c>
      <c r="D230" s="1" t="s">
        <v>512</v>
      </c>
      <c r="E230" s="1" t="s">
        <v>513</v>
      </c>
      <c r="F230" s="1"/>
      <c r="G230" s="1" t="s">
        <v>13</v>
      </c>
      <c r="H230" s="1" t="s">
        <v>14</v>
      </c>
      <c r="I230" s="1" t="str">
        <f>IFERROR(VLOOKUP(D230,'[1]from mst_stock_group'!A:C,2,0),"")</f>
        <v>Packing Material Stock</v>
      </c>
    </row>
    <row r="231" spans="1:9">
      <c r="A231" s="1" t="s">
        <v>528</v>
      </c>
      <c r="B231" s="1">
        <v>64558</v>
      </c>
      <c r="C231" s="1" t="s">
        <v>529</v>
      </c>
      <c r="D231" s="1" t="s">
        <v>512</v>
      </c>
      <c r="E231" s="1" t="s">
        <v>513</v>
      </c>
      <c r="F231" s="1"/>
      <c r="G231" s="1" t="s">
        <v>13</v>
      </c>
      <c r="H231" s="1" t="s">
        <v>14</v>
      </c>
      <c r="I231" s="1" t="str">
        <f>IFERROR(VLOOKUP(D231,'[1]from mst_stock_group'!A:C,2,0),"")</f>
        <v>Packing Material Stock</v>
      </c>
    </row>
    <row r="232" spans="1:9">
      <c r="A232" s="1" t="s">
        <v>530</v>
      </c>
      <c r="B232" s="1">
        <v>62726</v>
      </c>
      <c r="C232" s="1" t="s">
        <v>531</v>
      </c>
      <c r="D232" s="1" t="s">
        <v>205</v>
      </c>
      <c r="E232" s="1" t="s">
        <v>206</v>
      </c>
      <c r="F232" s="1"/>
      <c r="G232" s="1" t="s">
        <v>57</v>
      </c>
      <c r="H232" s="1" t="s">
        <v>58</v>
      </c>
      <c r="I232" s="1">
        <f>IFERROR(VLOOKUP(D232,'[1]from mst_stock_group'!A:C,2,0),"")</f>
        <v>0</v>
      </c>
    </row>
    <row r="233" spans="1:9">
      <c r="A233" s="1" t="s">
        <v>532</v>
      </c>
      <c r="B233" s="1">
        <v>62956</v>
      </c>
      <c r="C233" s="1" t="s">
        <v>533</v>
      </c>
      <c r="D233" s="1" t="s">
        <v>205</v>
      </c>
      <c r="E233" s="1" t="s">
        <v>206</v>
      </c>
      <c r="F233" s="1"/>
      <c r="G233" s="1" t="s">
        <v>57</v>
      </c>
      <c r="H233" s="1" t="s">
        <v>58</v>
      </c>
      <c r="I233" s="1">
        <f>IFERROR(VLOOKUP(D233,'[1]from mst_stock_group'!A:C,2,0),"")</f>
        <v>0</v>
      </c>
    </row>
    <row r="234" spans="1:9">
      <c r="A234" s="1" t="s">
        <v>534</v>
      </c>
      <c r="B234" s="1">
        <v>62861</v>
      </c>
      <c r="C234" s="1" t="s">
        <v>535</v>
      </c>
      <c r="D234" s="1" t="s">
        <v>205</v>
      </c>
      <c r="E234" s="1" t="s">
        <v>206</v>
      </c>
      <c r="F234" s="1"/>
      <c r="G234" s="1" t="s">
        <v>57</v>
      </c>
      <c r="H234" s="1" t="s">
        <v>58</v>
      </c>
      <c r="I234" s="1">
        <f>IFERROR(VLOOKUP(D234,'[1]from mst_stock_group'!A:C,2,0),"")</f>
        <v>0</v>
      </c>
    </row>
    <row r="235" spans="1:9">
      <c r="A235" s="1" t="s">
        <v>536</v>
      </c>
      <c r="B235" s="1">
        <v>62918</v>
      </c>
      <c r="C235" s="1" t="s">
        <v>537</v>
      </c>
      <c r="D235" s="1" t="s">
        <v>205</v>
      </c>
      <c r="E235" s="1" t="s">
        <v>206</v>
      </c>
      <c r="F235" s="1"/>
      <c r="G235" s="1" t="s">
        <v>183</v>
      </c>
      <c r="H235" s="1" t="s">
        <v>184</v>
      </c>
      <c r="I235" s="1">
        <f>IFERROR(VLOOKUP(D235,'[1]from mst_stock_group'!A:C,2,0),"")</f>
        <v>0</v>
      </c>
    </row>
    <row r="236" spans="1:9">
      <c r="A236" s="1" t="s">
        <v>538</v>
      </c>
      <c r="B236" s="1">
        <v>64527</v>
      </c>
      <c r="C236" s="1" t="s">
        <v>539</v>
      </c>
      <c r="D236" s="1" t="s">
        <v>81</v>
      </c>
      <c r="E236" s="1" t="s">
        <v>82</v>
      </c>
      <c r="F236" s="1"/>
      <c r="G236" s="1" t="s">
        <v>13</v>
      </c>
      <c r="H236" s="1" t="s">
        <v>14</v>
      </c>
      <c r="I236" s="1" t="str">
        <f>IFERROR(VLOOKUP(D236,'[1]from mst_stock_group'!A:C,2,0),"")</f>
        <v>Packing Material Stock</v>
      </c>
    </row>
    <row r="237" spans="1:9">
      <c r="A237" s="1" t="s">
        <v>540</v>
      </c>
      <c r="B237" s="1">
        <v>62727</v>
      </c>
      <c r="C237" s="1" t="s">
        <v>541</v>
      </c>
      <c r="D237" s="1" t="s">
        <v>542</v>
      </c>
      <c r="E237" s="1" t="s">
        <v>543</v>
      </c>
      <c r="F237" s="1"/>
      <c r="G237" s="1" t="s">
        <v>57</v>
      </c>
      <c r="H237" s="1" t="s">
        <v>58</v>
      </c>
      <c r="I237" s="1">
        <f>IFERROR(VLOOKUP(D237,'[1]from mst_stock_group'!A:C,2,0),"")</f>
        <v>0</v>
      </c>
    </row>
    <row r="238" spans="1:9">
      <c r="A238" s="1" t="s">
        <v>544</v>
      </c>
      <c r="B238" s="1">
        <v>62834</v>
      </c>
      <c r="C238" s="1" t="s">
        <v>545</v>
      </c>
      <c r="D238" s="1" t="s">
        <v>67</v>
      </c>
      <c r="E238" s="1" t="s">
        <v>68</v>
      </c>
      <c r="F238" s="1"/>
      <c r="G238" s="1" t="s">
        <v>227</v>
      </c>
      <c r="H238" s="1" t="s">
        <v>228</v>
      </c>
      <c r="I238" s="1">
        <f>IFERROR(VLOOKUP(D238,'[1]from mst_stock_group'!A:C,2,0),"")</f>
        <v>0</v>
      </c>
    </row>
    <row r="239" spans="1:9">
      <c r="A239" s="1" t="s">
        <v>546</v>
      </c>
      <c r="B239" s="1">
        <v>62908</v>
      </c>
      <c r="C239" s="1" t="s">
        <v>547</v>
      </c>
      <c r="D239" s="1" t="s">
        <v>67</v>
      </c>
      <c r="E239" s="1" t="s">
        <v>68</v>
      </c>
      <c r="F239" s="1"/>
      <c r="G239" s="1" t="s">
        <v>13</v>
      </c>
      <c r="H239" s="1" t="s">
        <v>14</v>
      </c>
      <c r="I239" s="1">
        <f>IFERROR(VLOOKUP(D239,'[1]from mst_stock_group'!A:C,2,0),"")</f>
        <v>0</v>
      </c>
    </row>
    <row r="240" spans="1:9">
      <c r="A240" s="1" t="s">
        <v>548</v>
      </c>
      <c r="B240" s="1">
        <v>62902</v>
      </c>
      <c r="C240" s="1" t="s">
        <v>549</v>
      </c>
      <c r="D240" s="1" t="s">
        <v>11</v>
      </c>
      <c r="E240" s="1" t="s">
        <v>12</v>
      </c>
      <c r="F240" s="1"/>
      <c r="G240" s="1" t="s">
        <v>57</v>
      </c>
      <c r="H240" s="1" t="s">
        <v>58</v>
      </c>
      <c r="I240" s="1" t="str">
        <f>IFERROR(VLOOKUP(D240,'[1]from mst_stock_group'!A:C,2,0),"")</f>
        <v>Packing Material Stock</v>
      </c>
    </row>
    <row r="241" spans="1:9">
      <c r="A241" s="1" t="s">
        <v>550</v>
      </c>
      <c r="B241" s="1">
        <v>62728</v>
      </c>
      <c r="C241" s="1" t="s">
        <v>551</v>
      </c>
      <c r="D241" s="1" t="s">
        <v>205</v>
      </c>
      <c r="E241" s="1" t="s">
        <v>206</v>
      </c>
      <c r="F241" s="1"/>
      <c r="G241" s="1" t="s">
        <v>57</v>
      </c>
      <c r="H241" s="1" t="s">
        <v>58</v>
      </c>
      <c r="I241" s="1">
        <f>IFERROR(VLOOKUP(D241,'[1]from mst_stock_group'!A:C,2,0),"")</f>
        <v>0</v>
      </c>
    </row>
    <row r="242" spans="1:9">
      <c r="A242" s="1" t="s">
        <v>552</v>
      </c>
      <c r="B242" s="1">
        <v>62944</v>
      </c>
      <c r="C242" s="1" t="s">
        <v>553</v>
      </c>
      <c r="D242" s="1" t="s">
        <v>205</v>
      </c>
      <c r="E242" s="1" t="s">
        <v>206</v>
      </c>
      <c r="F242" s="1"/>
      <c r="G242" s="1" t="s">
        <v>57</v>
      </c>
      <c r="H242" s="1" t="s">
        <v>58</v>
      </c>
      <c r="I242" s="1">
        <f>IFERROR(VLOOKUP(D242,'[1]from mst_stock_group'!A:C,2,0),"")</f>
        <v>0</v>
      </c>
    </row>
    <row r="243" spans="1:9">
      <c r="A243" s="1" t="s">
        <v>554</v>
      </c>
      <c r="B243" s="1">
        <v>64565</v>
      </c>
      <c r="C243" s="1" t="s">
        <v>555</v>
      </c>
      <c r="D243" s="1" t="s">
        <v>191</v>
      </c>
      <c r="E243" s="1" t="s">
        <v>192</v>
      </c>
      <c r="F243" s="1"/>
      <c r="G243" s="1" t="s">
        <v>183</v>
      </c>
      <c r="H243" s="1" t="s">
        <v>184</v>
      </c>
      <c r="I243" s="1">
        <f>IFERROR(VLOOKUP(D243,'[1]from mst_stock_group'!A:C,2,0),"")</f>
        <v>0</v>
      </c>
    </row>
    <row r="244" spans="1:9">
      <c r="A244" s="1" t="s">
        <v>556</v>
      </c>
      <c r="B244" s="1">
        <v>62729</v>
      </c>
      <c r="C244" s="1" t="s">
        <v>557</v>
      </c>
      <c r="D244" s="1" t="s">
        <v>542</v>
      </c>
      <c r="E244" s="1" t="s">
        <v>543</v>
      </c>
      <c r="F244" s="1"/>
      <c r="G244" s="1" t="s">
        <v>57</v>
      </c>
      <c r="H244" s="1" t="s">
        <v>58</v>
      </c>
      <c r="I244" s="1">
        <f>IFERROR(VLOOKUP(D244,'[1]from mst_stock_group'!A:C,2,0),"")</f>
        <v>0</v>
      </c>
    </row>
    <row r="245" spans="1:9">
      <c r="A245" s="1" t="s">
        <v>558</v>
      </c>
      <c r="B245" s="1">
        <v>62959</v>
      </c>
      <c r="C245" s="1" t="s">
        <v>559</v>
      </c>
      <c r="D245" s="1" t="s">
        <v>67</v>
      </c>
      <c r="E245" s="1" t="s">
        <v>68</v>
      </c>
      <c r="F245" s="1"/>
      <c r="G245" s="1" t="s">
        <v>13</v>
      </c>
      <c r="H245" s="1" t="s">
        <v>14</v>
      </c>
      <c r="I245" s="1">
        <f>IFERROR(VLOOKUP(D245,'[1]from mst_stock_group'!A:C,2,0),"")</f>
        <v>0</v>
      </c>
    </row>
    <row r="246" spans="1:9">
      <c r="A246" s="1" t="s">
        <v>560</v>
      </c>
      <c r="B246" s="1">
        <v>62730</v>
      </c>
      <c r="C246" s="1" t="s">
        <v>561</v>
      </c>
      <c r="D246" s="1" t="s">
        <v>205</v>
      </c>
      <c r="E246" s="1" t="s">
        <v>206</v>
      </c>
      <c r="F246" s="1"/>
      <c r="G246" s="1" t="s">
        <v>57</v>
      </c>
      <c r="H246" s="1" t="s">
        <v>58</v>
      </c>
      <c r="I246" s="1">
        <f>IFERROR(VLOOKUP(D246,'[1]from mst_stock_group'!A:C,2,0),"")</f>
        <v>0</v>
      </c>
    </row>
    <row r="247" spans="1:9">
      <c r="A247" s="1" t="s">
        <v>562</v>
      </c>
      <c r="B247" s="1">
        <v>62765</v>
      </c>
      <c r="C247" s="1" t="s">
        <v>563</v>
      </c>
      <c r="D247" s="1" t="s">
        <v>67</v>
      </c>
      <c r="E247" s="1" t="s">
        <v>68</v>
      </c>
      <c r="F247" s="1"/>
      <c r="G247" s="1" t="s">
        <v>13</v>
      </c>
      <c r="H247" s="1" t="s">
        <v>14</v>
      </c>
      <c r="I247" s="1">
        <f>IFERROR(VLOOKUP(D247,'[1]from mst_stock_group'!A:C,2,0),"")</f>
        <v>0</v>
      </c>
    </row>
    <row r="248" spans="1:9">
      <c r="A248" s="1" t="s">
        <v>564</v>
      </c>
      <c r="B248" s="1">
        <v>62932</v>
      </c>
      <c r="C248" s="1" t="s">
        <v>565</v>
      </c>
      <c r="D248" s="1" t="s">
        <v>342</v>
      </c>
      <c r="E248" s="1" t="s">
        <v>343</v>
      </c>
      <c r="F248" s="1"/>
      <c r="G248" s="1" t="s">
        <v>13</v>
      </c>
      <c r="H248" s="1" t="s">
        <v>14</v>
      </c>
      <c r="I248" s="1" t="str">
        <f>IFERROR(VLOOKUP(D248,'[1]from mst_stock_group'!A:C,2,0),"")</f>
        <v>Other Misc Purchase</v>
      </c>
    </row>
    <row r="249" spans="1:9">
      <c r="A249" s="1" t="s">
        <v>566</v>
      </c>
      <c r="B249" s="1">
        <v>62815</v>
      </c>
      <c r="C249" s="1" t="s">
        <v>567</v>
      </c>
      <c r="D249" s="1" t="s">
        <v>191</v>
      </c>
      <c r="E249" s="1" t="s">
        <v>192</v>
      </c>
      <c r="F249" s="1"/>
      <c r="G249" s="1" t="s">
        <v>13</v>
      </c>
      <c r="H249" s="1" t="s">
        <v>14</v>
      </c>
      <c r="I249" s="1">
        <f>IFERROR(VLOOKUP(D249,'[1]from mst_stock_group'!A:C,2,0),"")</f>
        <v>0</v>
      </c>
    </row>
    <row r="250" spans="1:9">
      <c r="A250" s="1" t="s">
        <v>568</v>
      </c>
      <c r="B250" s="1">
        <v>62951</v>
      </c>
      <c r="C250" s="1" t="s">
        <v>569</v>
      </c>
      <c r="D250" s="1" t="s">
        <v>191</v>
      </c>
      <c r="E250" s="1" t="s">
        <v>192</v>
      </c>
      <c r="F250" s="1"/>
      <c r="G250" s="1" t="s">
        <v>57</v>
      </c>
      <c r="H250" s="1" t="s">
        <v>58</v>
      </c>
      <c r="I250" s="1">
        <f>IFERROR(VLOOKUP(D250,'[1]from mst_stock_group'!A:C,2,0),"")</f>
        <v>0</v>
      </c>
    </row>
    <row r="251" spans="1:9">
      <c r="A251" s="1" t="s">
        <v>570</v>
      </c>
      <c r="B251" s="1">
        <v>62934</v>
      </c>
      <c r="C251" s="1" t="s">
        <v>571</v>
      </c>
      <c r="D251" s="1" t="s">
        <v>61</v>
      </c>
      <c r="E251" s="1" t="s">
        <v>62</v>
      </c>
      <c r="F251" s="1"/>
      <c r="G251" s="1" t="s">
        <v>13</v>
      </c>
      <c r="H251" s="1" t="s">
        <v>14</v>
      </c>
      <c r="I251" s="1">
        <f>IFERROR(VLOOKUP(D251,'[1]from mst_stock_group'!A:C,2,0),"")</f>
        <v>0</v>
      </c>
    </row>
    <row r="252" spans="1:9">
      <c r="A252" s="1" t="s">
        <v>572</v>
      </c>
      <c r="B252" s="1">
        <v>62862</v>
      </c>
      <c r="C252" s="1" t="s">
        <v>573</v>
      </c>
      <c r="D252" s="1" t="s">
        <v>205</v>
      </c>
      <c r="E252" s="1" t="s">
        <v>206</v>
      </c>
      <c r="F252" s="1"/>
      <c r="G252" s="1" t="s">
        <v>57</v>
      </c>
      <c r="H252" s="1" t="s">
        <v>58</v>
      </c>
      <c r="I252" s="1">
        <f>IFERROR(VLOOKUP(D252,'[1]from mst_stock_group'!A:C,2,0),"")</f>
        <v>0</v>
      </c>
    </row>
    <row r="253" spans="1:9">
      <c r="A253" s="1" t="s">
        <v>574</v>
      </c>
      <c r="B253" s="1">
        <v>62731</v>
      </c>
      <c r="C253" s="1" t="s">
        <v>575</v>
      </c>
      <c r="D253" s="1" t="s">
        <v>542</v>
      </c>
      <c r="E253" s="1" t="s">
        <v>543</v>
      </c>
      <c r="F253" s="1"/>
      <c r="G253" s="1" t="s">
        <v>57</v>
      </c>
      <c r="H253" s="1" t="s">
        <v>58</v>
      </c>
      <c r="I253" s="1">
        <f>IFERROR(VLOOKUP(D253,'[1]from mst_stock_group'!A:C,2,0),"")</f>
        <v>0</v>
      </c>
    </row>
    <row r="254" spans="1:9">
      <c r="A254" s="1" t="s">
        <v>576</v>
      </c>
      <c r="B254" s="1">
        <v>63468</v>
      </c>
      <c r="C254" s="1" t="s">
        <v>577</v>
      </c>
      <c r="D254" s="1" t="s">
        <v>205</v>
      </c>
      <c r="E254" s="1" t="s">
        <v>206</v>
      </c>
      <c r="F254" s="1"/>
      <c r="G254" s="1" t="s">
        <v>57</v>
      </c>
      <c r="H254" s="1" t="s">
        <v>58</v>
      </c>
      <c r="I254" s="1">
        <f>IFERROR(VLOOKUP(D254,'[1]from mst_stock_group'!A:C,2,0),"")</f>
        <v>0</v>
      </c>
    </row>
    <row r="255" spans="1:9">
      <c r="A255" s="1" t="s">
        <v>578</v>
      </c>
      <c r="B255" s="1">
        <v>62789</v>
      </c>
      <c r="C255" s="1" t="s">
        <v>579</v>
      </c>
      <c r="D255" s="1" t="s">
        <v>205</v>
      </c>
      <c r="E255" s="1" t="s">
        <v>206</v>
      </c>
      <c r="F255" s="1"/>
      <c r="G255" s="1" t="s">
        <v>57</v>
      </c>
      <c r="H255" s="1" t="s">
        <v>58</v>
      </c>
      <c r="I255" s="1">
        <f>IFERROR(VLOOKUP(D255,'[1]from mst_stock_group'!A:C,2,0),"")</f>
        <v>0</v>
      </c>
    </row>
    <row r="256" spans="1:9">
      <c r="A256" s="1" t="s">
        <v>580</v>
      </c>
      <c r="B256" s="1">
        <v>62831</v>
      </c>
      <c r="C256" s="1" t="s">
        <v>581</v>
      </c>
      <c r="D256" s="1" t="s">
        <v>205</v>
      </c>
      <c r="E256" s="1" t="s">
        <v>206</v>
      </c>
      <c r="F256" s="1"/>
      <c r="G256" s="1" t="s">
        <v>57</v>
      </c>
      <c r="H256" s="1" t="s">
        <v>58</v>
      </c>
      <c r="I256" s="1">
        <f>IFERROR(VLOOKUP(D256,'[1]from mst_stock_group'!A:C,2,0),"")</f>
        <v>0</v>
      </c>
    </row>
    <row r="257" spans="1:9">
      <c r="A257" s="1" t="s">
        <v>582</v>
      </c>
      <c r="B257" s="1">
        <v>64528</v>
      </c>
      <c r="C257" s="1" t="s">
        <v>583</v>
      </c>
      <c r="D257" s="1" t="s">
        <v>81</v>
      </c>
      <c r="E257" s="1" t="s">
        <v>82</v>
      </c>
      <c r="F257" s="1"/>
      <c r="G257" s="1" t="s">
        <v>13</v>
      </c>
      <c r="H257" s="1" t="s">
        <v>14</v>
      </c>
      <c r="I257" s="1" t="str">
        <f>IFERROR(VLOOKUP(D257,'[1]from mst_stock_group'!A:C,2,0),"")</f>
        <v>Packing Material Stock</v>
      </c>
    </row>
    <row r="258" spans="1:9">
      <c r="A258" s="1" t="s">
        <v>584</v>
      </c>
      <c r="B258" s="1">
        <v>64529</v>
      </c>
      <c r="C258" s="1" t="s">
        <v>585</v>
      </c>
      <c r="D258" s="1" t="s">
        <v>81</v>
      </c>
      <c r="E258" s="1" t="s">
        <v>82</v>
      </c>
      <c r="F258" s="1"/>
      <c r="G258" s="1" t="s">
        <v>13</v>
      </c>
      <c r="H258" s="1" t="s">
        <v>14</v>
      </c>
      <c r="I258" s="1" t="str">
        <f>IFERROR(VLOOKUP(D258,'[1]from mst_stock_group'!A:C,2,0),"")</f>
        <v>Packing Material Stock</v>
      </c>
    </row>
    <row r="259" spans="1:9">
      <c r="A259" s="1" t="s">
        <v>586</v>
      </c>
      <c r="B259" s="1">
        <v>64530</v>
      </c>
      <c r="C259" s="1" t="s">
        <v>587</v>
      </c>
      <c r="D259" s="1" t="s">
        <v>81</v>
      </c>
      <c r="E259" s="1" t="s">
        <v>82</v>
      </c>
      <c r="F259" s="1"/>
      <c r="G259" s="1" t="s">
        <v>13</v>
      </c>
      <c r="H259" s="1" t="s">
        <v>14</v>
      </c>
      <c r="I259" s="1" t="str">
        <f>IFERROR(VLOOKUP(D259,'[1]from mst_stock_group'!A:C,2,0),"")</f>
        <v>Packing Material Stock</v>
      </c>
    </row>
    <row r="260" spans="1:9">
      <c r="A260" s="1" t="s">
        <v>588</v>
      </c>
      <c r="B260" s="1">
        <v>62904</v>
      </c>
      <c r="C260" s="1" t="s">
        <v>589</v>
      </c>
      <c r="D260" s="1" t="s">
        <v>81</v>
      </c>
      <c r="E260" s="1" t="s">
        <v>82</v>
      </c>
      <c r="F260" s="1"/>
      <c r="G260" s="1" t="s">
        <v>13</v>
      </c>
      <c r="H260" s="1" t="s">
        <v>14</v>
      </c>
      <c r="I260" s="1" t="str">
        <f>IFERROR(VLOOKUP(D260,'[1]from mst_stock_group'!A:C,2,0),"")</f>
        <v>Packing Material Stock</v>
      </c>
    </row>
    <row r="261" spans="1:9">
      <c r="A261" s="1" t="s">
        <v>590</v>
      </c>
      <c r="B261" s="1">
        <v>64531</v>
      </c>
      <c r="C261" s="1" t="s">
        <v>591</v>
      </c>
      <c r="D261" s="1" t="s">
        <v>81</v>
      </c>
      <c r="E261" s="1" t="s">
        <v>82</v>
      </c>
      <c r="F261" s="1"/>
      <c r="G261" s="1" t="s">
        <v>13</v>
      </c>
      <c r="H261" s="1" t="s">
        <v>14</v>
      </c>
      <c r="I261" s="1" t="str">
        <f>IFERROR(VLOOKUP(D261,'[1]from mst_stock_group'!A:C,2,0),"")</f>
        <v>Packing Material Stock</v>
      </c>
    </row>
    <row r="262" spans="1:9">
      <c r="A262" s="1" t="s">
        <v>592</v>
      </c>
      <c r="B262" s="1">
        <v>64532</v>
      </c>
      <c r="C262" s="1" t="s">
        <v>593</v>
      </c>
      <c r="D262" s="1" t="s">
        <v>81</v>
      </c>
      <c r="E262" s="1" t="s">
        <v>82</v>
      </c>
      <c r="F262" s="1"/>
      <c r="G262" s="1" t="s">
        <v>13</v>
      </c>
      <c r="H262" s="1" t="s">
        <v>14</v>
      </c>
      <c r="I262" s="1" t="str">
        <f>IFERROR(VLOOKUP(D262,'[1]from mst_stock_group'!A:C,2,0),"")</f>
        <v>Packing Material Stock</v>
      </c>
    </row>
    <row r="263" spans="1:9">
      <c r="A263" s="1" t="s">
        <v>594</v>
      </c>
      <c r="B263" s="1">
        <v>63757</v>
      </c>
      <c r="C263" s="1" t="s">
        <v>595</v>
      </c>
      <c r="D263" s="1" t="s">
        <v>81</v>
      </c>
      <c r="E263" s="1" t="s">
        <v>82</v>
      </c>
      <c r="F263" s="1"/>
      <c r="G263" s="1" t="s">
        <v>13</v>
      </c>
      <c r="H263" s="1" t="s">
        <v>14</v>
      </c>
      <c r="I263" s="1" t="str">
        <f>IFERROR(VLOOKUP(D263,'[1]from mst_stock_group'!A:C,2,0),"")</f>
        <v>Packing Material Stock</v>
      </c>
    </row>
    <row r="264" spans="1:9">
      <c r="A264" s="1" t="s">
        <v>596</v>
      </c>
      <c r="B264" s="1">
        <v>64767</v>
      </c>
      <c r="C264" s="1" t="s">
        <v>597</v>
      </c>
      <c r="D264" s="1" t="s">
        <v>205</v>
      </c>
      <c r="E264" s="1" t="s">
        <v>206</v>
      </c>
      <c r="F264" s="1"/>
      <c r="G264" s="1" t="s">
        <v>183</v>
      </c>
      <c r="H264" s="1" t="s">
        <v>184</v>
      </c>
      <c r="I264" s="1">
        <f>IFERROR(VLOOKUP(D264,'[1]from mst_stock_group'!A:C,2,0),"")</f>
        <v>0</v>
      </c>
    </row>
    <row r="265" spans="1:9">
      <c r="A265" s="1" t="s">
        <v>598</v>
      </c>
      <c r="B265" s="1">
        <v>62735</v>
      </c>
      <c r="C265" s="1" t="s">
        <v>599</v>
      </c>
      <c r="D265" s="1" t="s">
        <v>205</v>
      </c>
      <c r="E265" s="1" t="s">
        <v>206</v>
      </c>
      <c r="F265" s="1"/>
      <c r="G265" s="1" t="s">
        <v>57</v>
      </c>
      <c r="H265" s="1" t="s">
        <v>58</v>
      </c>
      <c r="I265" s="1">
        <f>IFERROR(VLOOKUP(D265,'[1]from mst_stock_group'!A:C,2,0),"")</f>
        <v>0</v>
      </c>
    </row>
    <row r="266" spans="1:9">
      <c r="A266" s="1" t="s">
        <v>600</v>
      </c>
      <c r="B266" s="1">
        <v>64441</v>
      </c>
      <c r="C266" s="1" t="s">
        <v>601</v>
      </c>
      <c r="D266" s="1" t="s">
        <v>205</v>
      </c>
      <c r="E266" s="1" t="s">
        <v>206</v>
      </c>
      <c r="F266" s="1"/>
      <c r="G266" s="1" t="s">
        <v>183</v>
      </c>
      <c r="H266" s="1" t="s">
        <v>184</v>
      </c>
      <c r="I266" s="1">
        <f>IFERROR(VLOOKUP(D266,'[1]from mst_stock_group'!A:C,2,0),"")</f>
        <v>0</v>
      </c>
    </row>
    <row r="267" spans="1:9">
      <c r="A267" s="1" t="s">
        <v>602</v>
      </c>
      <c r="B267" s="1">
        <v>62863</v>
      </c>
      <c r="C267" s="1" t="s">
        <v>603</v>
      </c>
      <c r="D267" s="1" t="s">
        <v>205</v>
      </c>
      <c r="E267" s="1" t="s">
        <v>206</v>
      </c>
      <c r="F267" s="1"/>
      <c r="G267" s="1" t="s">
        <v>57</v>
      </c>
      <c r="H267" s="1" t="s">
        <v>58</v>
      </c>
      <c r="I267" s="1">
        <f>IFERROR(VLOOKUP(D267,'[1]from mst_stock_group'!A:C,2,0),"")</f>
        <v>0</v>
      </c>
    </row>
    <row r="268" spans="1:9">
      <c r="A268" s="1" t="s">
        <v>604</v>
      </c>
      <c r="B268" s="1">
        <v>62903</v>
      </c>
      <c r="C268" s="1" t="s">
        <v>605</v>
      </c>
      <c r="D268" s="1" t="s">
        <v>542</v>
      </c>
      <c r="E268" s="1" t="s">
        <v>543</v>
      </c>
      <c r="F268" s="1"/>
      <c r="G268" s="1" t="s">
        <v>57</v>
      </c>
      <c r="H268" s="1" t="s">
        <v>58</v>
      </c>
      <c r="I268" s="1">
        <f>IFERROR(VLOOKUP(D268,'[1]from mst_stock_group'!A:C,2,0),"")</f>
        <v>0</v>
      </c>
    </row>
    <row r="269" spans="1:9">
      <c r="A269" s="1" t="s">
        <v>606</v>
      </c>
      <c r="B269" s="1">
        <v>62733</v>
      </c>
      <c r="C269" s="1" t="s">
        <v>607</v>
      </c>
      <c r="D269" s="1" t="s">
        <v>205</v>
      </c>
      <c r="E269" s="1" t="s">
        <v>206</v>
      </c>
      <c r="F269" s="1"/>
      <c r="G269" s="1" t="s">
        <v>57</v>
      </c>
      <c r="H269" s="1" t="s">
        <v>58</v>
      </c>
      <c r="I269" s="1">
        <f>IFERROR(VLOOKUP(D269,'[1]from mst_stock_group'!A:C,2,0),"")</f>
        <v>0</v>
      </c>
    </row>
    <row r="270" spans="1:9">
      <c r="A270" s="1" t="s">
        <v>608</v>
      </c>
      <c r="B270" s="1">
        <v>62792</v>
      </c>
      <c r="C270" s="1" t="s">
        <v>609</v>
      </c>
      <c r="D270" s="1" t="s">
        <v>205</v>
      </c>
      <c r="E270" s="1" t="s">
        <v>206</v>
      </c>
      <c r="F270" s="1"/>
      <c r="G270" s="1" t="s">
        <v>183</v>
      </c>
      <c r="H270" s="1" t="s">
        <v>184</v>
      </c>
      <c r="I270" s="1">
        <f>IFERROR(VLOOKUP(D270,'[1]from mst_stock_group'!A:C,2,0),"")</f>
        <v>0</v>
      </c>
    </row>
    <row r="271" spans="1:9">
      <c r="A271" s="1" t="s">
        <v>610</v>
      </c>
      <c r="B271" s="1">
        <v>62791</v>
      </c>
      <c r="C271" s="1" t="s">
        <v>611</v>
      </c>
      <c r="D271" s="1" t="s">
        <v>191</v>
      </c>
      <c r="E271" s="1" t="s">
        <v>192</v>
      </c>
      <c r="F271" s="1"/>
      <c r="G271" s="1" t="s">
        <v>57</v>
      </c>
      <c r="H271" s="1" t="s">
        <v>58</v>
      </c>
      <c r="I271" s="1">
        <f>IFERROR(VLOOKUP(D271,'[1]from mst_stock_group'!A:C,2,0),"")</f>
        <v>0</v>
      </c>
    </row>
    <row r="272" spans="1:9">
      <c r="A272" s="1" t="s">
        <v>612</v>
      </c>
      <c r="B272" s="1">
        <v>62734</v>
      </c>
      <c r="C272" s="1" t="s">
        <v>613</v>
      </c>
      <c r="D272" s="1" t="s">
        <v>542</v>
      </c>
      <c r="E272" s="1" t="s">
        <v>543</v>
      </c>
      <c r="F272" s="1"/>
      <c r="G272" s="1" t="s">
        <v>57</v>
      </c>
      <c r="H272" s="1" t="s">
        <v>58</v>
      </c>
      <c r="I272" s="1">
        <f>IFERROR(VLOOKUP(D272,'[1]from mst_stock_group'!A:C,2,0),"")</f>
        <v>0</v>
      </c>
    </row>
    <row r="273" spans="1:9">
      <c r="A273" s="1" t="s">
        <v>614</v>
      </c>
      <c r="B273" s="1">
        <v>62942</v>
      </c>
      <c r="C273" s="1" t="s">
        <v>615</v>
      </c>
      <c r="D273" s="1" t="s">
        <v>205</v>
      </c>
      <c r="E273" s="1" t="s">
        <v>206</v>
      </c>
      <c r="F273" s="1"/>
      <c r="G273" s="1" t="s">
        <v>616</v>
      </c>
      <c r="H273" s="1" t="s">
        <v>617</v>
      </c>
      <c r="I273" s="1">
        <f>IFERROR(VLOOKUP(D273,'[1]from mst_stock_group'!A:C,2,0),"")</f>
        <v>0</v>
      </c>
    </row>
    <row r="274" spans="1:9">
      <c r="A274" s="1" t="s">
        <v>618</v>
      </c>
      <c r="B274" s="1">
        <v>63638</v>
      </c>
      <c r="C274" s="1" t="s">
        <v>619</v>
      </c>
      <c r="D274" s="1" t="s">
        <v>11</v>
      </c>
      <c r="E274" s="1" t="s">
        <v>12</v>
      </c>
      <c r="F274" s="1"/>
      <c r="G274" s="1" t="s">
        <v>57</v>
      </c>
      <c r="H274" s="1" t="s">
        <v>58</v>
      </c>
      <c r="I274" s="1" t="str">
        <f>IFERROR(VLOOKUP(D274,'[1]from mst_stock_group'!A:C,2,0),"")</f>
        <v>Packing Material Stock</v>
      </c>
    </row>
    <row r="275" spans="1:9">
      <c r="A275" s="1" t="s">
        <v>620</v>
      </c>
      <c r="B275" s="1">
        <v>62914</v>
      </c>
      <c r="C275" s="1" t="s">
        <v>621</v>
      </c>
      <c r="D275" s="1" t="s">
        <v>622</v>
      </c>
      <c r="E275" s="1" t="s">
        <v>623</v>
      </c>
      <c r="F275" s="1"/>
      <c r="G275" s="1" t="s">
        <v>57</v>
      </c>
      <c r="H275" s="1" t="s">
        <v>58</v>
      </c>
      <c r="I275" s="1" t="str">
        <f>IFERROR(VLOOKUP(D275,'[1]from mst_stock_group'!A:C,2,0),"")</f>
        <v>Finished Goods Stock</v>
      </c>
    </row>
    <row r="276" spans="1:9">
      <c r="A276" s="1" t="s">
        <v>624</v>
      </c>
      <c r="B276" s="1">
        <v>64450</v>
      </c>
      <c r="C276" s="1" t="s">
        <v>625</v>
      </c>
      <c r="D276" s="1" t="s">
        <v>61</v>
      </c>
      <c r="E276" s="1" t="s">
        <v>62</v>
      </c>
      <c r="F276" s="1"/>
      <c r="G276" s="1" t="s">
        <v>183</v>
      </c>
      <c r="H276" s="1" t="s">
        <v>184</v>
      </c>
      <c r="I276" s="1">
        <f>IFERROR(VLOOKUP(D276,'[1]from mst_stock_group'!A:C,2,0),"")</f>
        <v>0</v>
      </c>
    </row>
    <row r="277" spans="1:9">
      <c r="A277" s="1" t="s">
        <v>626</v>
      </c>
      <c r="B277" s="1">
        <v>64449</v>
      </c>
      <c r="C277" s="1" t="s">
        <v>627</v>
      </c>
      <c r="D277" s="1" t="s">
        <v>622</v>
      </c>
      <c r="E277" s="1" t="s">
        <v>623</v>
      </c>
      <c r="F277" s="1"/>
      <c r="G277" s="1" t="s">
        <v>57</v>
      </c>
      <c r="H277" s="1" t="s">
        <v>58</v>
      </c>
      <c r="I277" s="1" t="str">
        <f>IFERROR(VLOOKUP(D277,'[1]from mst_stock_group'!A:C,2,0),"")</f>
        <v>Finished Goods Stock</v>
      </c>
    </row>
    <row r="278" spans="1:9">
      <c r="A278" s="1" t="s">
        <v>628</v>
      </c>
      <c r="B278" s="1">
        <v>62736</v>
      </c>
      <c r="C278" s="1" t="s">
        <v>629</v>
      </c>
      <c r="D278" s="1" t="s">
        <v>542</v>
      </c>
      <c r="E278" s="1" t="s">
        <v>543</v>
      </c>
      <c r="F278" s="1"/>
      <c r="G278" s="1" t="s">
        <v>57</v>
      </c>
      <c r="H278" s="1" t="s">
        <v>58</v>
      </c>
      <c r="I278" s="1">
        <f>IFERROR(VLOOKUP(D278,'[1]from mst_stock_group'!A:C,2,0),"")</f>
        <v>0</v>
      </c>
    </row>
    <row r="279" spans="1:9">
      <c r="A279" s="1" t="s">
        <v>630</v>
      </c>
      <c r="B279" s="1">
        <v>64533</v>
      </c>
      <c r="C279" s="1" t="s">
        <v>631</v>
      </c>
      <c r="D279" s="1" t="s">
        <v>81</v>
      </c>
      <c r="E279" s="1" t="s">
        <v>82</v>
      </c>
      <c r="F279" s="1"/>
      <c r="G279" s="1" t="s">
        <v>13</v>
      </c>
      <c r="H279" s="1" t="s">
        <v>14</v>
      </c>
      <c r="I279" s="1" t="str">
        <f>IFERROR(VLOOKUP(D279,'[1]from mst_stock_group'!A:C,2,0),"")</f>
        <v>Packing Material Stock</v>
      </c>
    </row>
    <row r="280" spans="1:9">
      <c r="A280" s="1" t="s">
        <v>632</v>
      </c>
      <c r="B280" s="1">
        <v>64534</v>
      </c>
      <c r="C280" s="1" t="s">
        <v>633</v>
      </c>
      <c r="D280" s="1" t="s">
        <v>81</v>
      </c>
      <c r="E280" s="1" t="s">
        <v>82</v>
      </c>
      <c r="F280" s="1"/>
      <c r="G280" s="1" t="s">
        <v>13</v>
      </c>
      <c r="H280" s="1" t="s">
        <v>14</v>
      </c>
      <c r="I280" s="1" t="str">
        <f>IFERROR(VLOOKUP(D280,'[1]from mst_stock_group'!A:C,2,0),"")</f>
        <v>Packing Material Stock</v>
      </c>
    </row>
    <row r="281" spans="1:9">
      <c r="A281" s="1" t="s">
        <v>634</v>
      </c>
      <c r="B281" s="1">
        <v>64535</v>
      </c>
      <c r="C281" s="1" t="s">
        <v>635</v>
      </c>
      <c r="D281" s="1" t="s">
        <v>81</v>
      </c>
      <c r="E281" s="1" t="s">
        <v>82</v>
      </c>
      <c r="F281" s="1"/>
      <c r="G281" s="1" t="s">
        <v>13</v>
      </c>
      <c r="H281" s="1" t="s">
        <v>14</v>
      </c>
      <c r="I281" s="1" t="str">
        <f>IFERROR(VLOOKUP(D281,'[1]from mst_stock_group'!A:C,2,0),"")</f>
        <v>Packing Material Stock</v>
      </c>
    </row>
    <row r="282" spans="1:9">
      <c r="A282" s="1" t="s">
        <v>636</v>
      </c>
      <c r="B282" s="1">
        <v>64769</v>
      </c>
      <c r="C282" s="1" t="s">
        <v>637</v>
      </c>
      <c r="D282" s="1" t="s">
        <v>81</v>
      </c>
      <c r="E282" s="1" t="s">
        <v>82</v>
      </c>
      <c r="F282" s="1"/>
      <c r="G282" s="1" t="s">
        <v>13</v>
      </c>
      <c r="H282" s="1" t="s">
        <v>14</v>
      </c>
      <c r="I282" s="1" t="str">
        <f>IFERROR(VLOOKUP(D282,'[1]from mst_stock_group'!A:C,2,0),"")</f>
        <v>Packing Material Stock</v>
      </c>
    </row>
    <row r="283" spans="1:9">
      <c r="A283" s="1" t="s">
        <v>638</v>
      </c>
      <c r="B283" s="1">
        <v>64536</v>
      </c>
      <c r="C283" s="1" t="s">
        <v>639</v>
      </c>
      <c r="D283" s="1" t="s">
        <v>81</v>
      </c>
      <c r="E283" s="1" t="s">
        <v>82</v>
      </c>
      <c r="F283" s="1"/>
      <c r="G283" s="1" t="s">
        <v>13</v>
      </c>
      <c r="H283" s="1" t="s">
        <v>14</v>
      </c>
      <c r="I283" s="1" t="str">
        <f>IFERROR(VLOOKUP(D283,'[1]from mst_stock_group'!A:C,2,0),"")</f>
        <v>Packing Material Stock</v>
      </c>
    </row>
    <row r="284" spans="1:9">
      <c r="A284" s="1" t="s">
        <v>640</v>
      </c>
      <c r="B284" s="1">
        <v>64537</v>
      </c>
      <c r="C284" s="1" t="s">
        <v>641</v>
      </c>
      <c r="D284" s="1" t="s">
        <v>81</v>
      </c>
      <c r="E284" s="1" t="s">
        <v>82</v>
      </c>
      <c r="F284" s="1"/>
      <c r="G284" s="1" t="s">
        <v>13</v>
      </c>
      <c r="H284" s="1" t="s">
        <v>14</v>
      </c>
      <c r="I284" s="1" t="str">
        <f>IFERROR(VLOOKUP(D284,'[1]from mst_stock_group'!A:C,2,0),"")</f>
        <v>Packing Material Stock</v>
      </c>
    </row>
    <row r="285" spans="1:9">
      <c r="A285" s="1" t="s">
        <v>642</v>
      </c>
      <c r="B285" s="1">
        <v>64538</v>
      </c>
      <c r="C285" s="1" t="s">
        <v>643</v>
      </c>
      <c r="D285" s="1" t="s">
        <v>81</v>
      </c>
      <c r="E285" s="1" t="s">
        <v>82</v>
      </c>
      <c r="F285" s="1"/>
      <c r="G285" s="1" t="s">
        <v>13</v>
      </c>
      <c r="H285" s="1" t="s">
        <v>14</v>
      </c>
      <c r="I285" s="1" t="str">
        <f>IFERROR(VLOOKUP(D285,'[1]from mst_stock_group'!A:C,2,0),"")</f>
        <v>Packing Material Stock</v>
      </c>
    </row>
    <row r="286" spans="1:9">
      <c r="A286" s="1" t="s">
        <v>644</v>
      </c>
      <c r="B286" s="1">
        <v>64539</v>
      </c>
      <c r="C286" s="1" t="s">
        <v>645</v>
      </c>
      <c r="D286" s="1" t="s">
        <v>81</v>
      </c>
      <c r="E286" s="1" t="s">
        <v>82</v>
      </c>
      <c r="F286" s="1"/>
      <c r="G286" s="1" t="s">
        <v>13</v>
      </c>
      <c r="H286" s="1" t="s">
        <v>14</v>
      </c>
      <c r="I286" s="1" t="str">
        <f>IFERROR(VLOOKUP(D286,'[1]from mst_stock_group'!A:C,2,0),"")</f>
        <v>Packing Material Stock</v>
      </c>
    </row>
    <row r="287" spans="1:9">
      <c r="A287" s="1" t="s">
        <v>646</v>
      </c>
      <c r="B287" s="1">
        <v>64540</v>
      </c>
      <c r="C287" s="1" t="s">
        <v>647</v>
      </c>
      <c r="D287" s="1" t="s">
        <v>81</v>
      </c>
      <c r="E287" s="1" t="s">
        <v>82</v>
      </c>
      <c r="F287" s="1"/>
      <c r="G287" s="1" t="s">
        <v>13</v>
      </c>
      <c r="H287" s="1" t="s">
        <v>14</v>
      </c>
      <c r="I287" s="1" t="str">
        <f>IFERROR(VLOOKUP(D287,'[1]from mst_stock_group'!A:C,2,0),"")</f>
        <v>Packing Material Stock</v>
      </c>
    </row>
    <row r="288" spans="1:9">
      <c r="A288" s="1" t="s">
        <v>648</v>
      </c>
      <c r="B288" s="1">
        <v>64444</v>
      </c>
      <c r="C288" s="1" t="s">
        <v>649</v>
      </c>
      <c r="D288" s="1" t="s">
        <v>622</v>
      </c>
      <c r="E288" s="1" t="s">
        <v>623</v>
      </c>
      <c r="F288" s="1"/>
      <c r="G288" s="1" t="s">
        <v>57</v>
      </c>
      <c r="H288" s="1" t="s">
        <v>58</v>
      </c>
      <c r="I288" s="1" t="str">
        <f>IFERROR(VLOOKUP(D288,'[1]from mst_stock_group'!A:C,2,0),"")</f>
        <v>Finished Goods Stock</v>
      </c>
    </row>
    <row r="289" spans="1:9">
      <c r="A289" s="1" t="s">
        <v>650</v>
      </c>
      <c r="B289" s="1">
        <v>64541</v>
      </c>
      <c r="C289" s="1" t="s">
        <v>651</v>
      </c>
      <c r="D289" s="1" t="s">
        <v>652</v>
      </c>
      <c r="E289" s="1" t="s">
        <v>653</v>
      </c>
      <c r="F289" s="1"/>
      <c r="G289" s="1" t="s">
        <v>13</v>
      </c>
      <c r="H289" s="1" t="s">
        <v>14</v>
      </c>
      <c r="I289" s="1" t="str">
        <f>IFERROR(VLOOKUP(D289,'[1]from mst_stock_group'!A:C,2,0),"")</f>
        <v>Packing Material Stock</v>
      </c>
    </row>
    <row r="290" spans="1:9">
      <c r="A290" s="1" t="s">
        <v>654</v>
      </c>
      <c r="B290" s="1">
        <v>64542</v>
      </c>
      <c r="C290" s="1" t="s">
        <v>655</v>
      </c>
      <c r="D290" s="1" t="s">
        <v>652</v>
      </c>
      <c r="E290" s="1" t="s">
        <v>653</v>
      </c>
      <c r="F290" s="1"/>
      <c r="G290" s="1" t="s">
        <v>13</v>
      </c>
      <c r="H290" s="1" t="s">
        <v>14</v>
      </c>
      <c r="I290" s="1" t="str">
        <f>IFERROR(VLOOKUP(D290,'[1]from mst_stock_group'!A:C,2,0),"")</f>
        <v>Packing Material Stock</v>
      </c>
    </row>
    <row r="291" spans="1:9">
      <c r="A291" s="1" t="s">
        <v>656</v>
      </c>
      <c r="B291" s="1">
        <v>62969</v>
      </c>
      <c r="C291" s="1" t="s">
        <v>657</v>
      </c>
      <c r="D291" s="1" t="s">
        <v>81</v>
      </c>
      <c r="E291" s="1" t="s">
        <v>82</v>
      </c>
      <c r="F291" s="1"/>
      <c r="G291" s="1" t="s">
        <v>13</v>
      </c>
      <c r="H291" s="1" t="s">
        <v>14</v>
      </c>
      <c r="I291" s="1" t="str">
        <f>IFERROR(VLOOKUP(D291,'[1]from mst_stock_group'!A:C,2,0),"")</f>
        <v>Packing Material Stock</v>
      </c>
    </row>
    <row r="292" spans="1:9">
      <c r="A292" s="1" t="s">
        <v>658</v>
      </c>
      <c r="B292" s="1">
        <v>62968</v>
      </c>
      <c r="C292" s="1" t="s">
        <v>659</v>
      </c>
      <c r="D292" s="1" t="s">
        <v>81</v>
      </c>
      <c r="E292" s="1" t="s">
        <v>82</v>
      </c>
      <c r="F292" s="1"/>
      <c r="G292" s="1" t="s">
        <v>13</v>
      </c>
      <c r="H292" s="1" t="s">
        <v>14</v>
      </c>
      <c r="I292" s="1" t="str">
        <f>IFERROR(VLOOKUP(D292,'[1]from mst_stock_group'!A:C,2,0),"")</f>
        <v>Packing Material Stock</v>
      </c>
    </row>
    <row r="293" spans="1:9">
      <c r="A293" s="1" t="s">
        <v>660</v>
      </c>
      <c r="B293" s="1">
        <v>62911</v>
      </c>
      <c r="C293" s="1" t="s">
        <v>661</v>
      </c>
      <c r="D293" s="1" t="s">
        <v>81</v>
      </c>
      <c r="E293" s="1" t="s">
        <v>82</v>
      </c>
      <c r="F293" s="1"/>
      <c r="G293" s="1" t="s">
        <v>13</v>
      </c>
      <c r="H293" s="1" t="s">
        <v>14</v>
      </c>
      <c r="I293" s="1" t="str">
        <f>IFERROR(VLOOKUP(D293,'[1]from mst_stock_group'!A:C,2,0),"")</f>
        <v>Packing Material Stock</v>
      </c>
    </row>
    <row r="294" spans="1:9">
      <c r="A294" s="1" t="s">
        <v>662</v>
      </c>
      <c r="B294" s="1">
        <v>62910</v>
      </c>
      <c r="C294" s="1" t="s">
        <v>663</v>
      </c>
      <c r="D294" s="1" t="s">
        <v>81</v>
      </c>
      <c r="E294" s="1" t="s">
        <v>82</v>
      </c>
      <c r="F294" s="1"/>
      <c r="G294" s="1" t="s">
        <v>13</v>
      </c>
      <c r="H294" s="1" t="s">
        <v>14</v>
      </c>
      <c r="I294" s="1" t="str">
        <f>IFERROR(VLOOKUP(D294,'[1]from mst_stock_group'!A:C,2,0),"")</f>
        <v>Packing Material Stock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ACADMIN</dc:creator>
  <cp:lastModifiedBy>ACADMIN</cp:lastModifiedBy>
  <dcterms:created xsi:type="dcterms:W3CDTF">2026-05-05T12:15:37Z</dcterms:created>
  <dcterms:modified xsi:type="dcterms:W3CDTF">2026-05-05T12:16:20Z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1033-...</vt:lpwstr>
  </property>
</Properties>
</file>